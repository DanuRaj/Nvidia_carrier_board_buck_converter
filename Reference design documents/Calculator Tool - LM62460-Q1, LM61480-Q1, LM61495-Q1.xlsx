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QRBOTS\PCB Projects\DPRS_10A16V\Reference design documents\"/>
    </mc:Choice>
  </mc:AlternateContent>
  <xr:revisionPtr revIDLastSave="0" documentId="13_ncr:1_{E8967E30-26FC-4CFC-ADEE-F8AA9A6EE35E}" xr6:coauthVersionLast="47" xr6:coauthVersionMax="47" xr10:uidLastSave="{00000000-0000-0000-0000-000000000000}"/>
  <workbookProtection workbookAlgorithmName="SHA-512" workbookHashValue="DkgiArxf88ytaHg735kk3QnkqgXsSnhQ4P14yKukbwc13M7ygGDcIgeMeQpXxt1cQkg9Xoohgk//Whxcq8vSFQ==" workbookSaltValue="4cJEimZ3hwkYoyo2Vfx1Hw==" workbookSpinCount="100000" lockStructure="1"/>
  <bookViews>
    <workbookView xWindow="-108" yWindow="-108" windowWidth="23256" windowHeight="12456" xr2:uid="{00000000-000D-0000-FFFF-FFFF00000000}"/>
  </bookViews>
  <sheets>
    <sheet name="Main" sheetId="1" r:id="rId1"/>
    <sheet name="RstdVal" sheetId="5" state="hidden" r:id="rId2"/>
    <sheet name="LstdVal" sheetId="6"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5" i="1" l="1"/>
  <c r="Q97" i="1"/>
  <c r="S33" i="1" l="1"/>
  <c r="Q33" i="1"/>
  <c r="Q110" i="1" l="1"/>
  <c r="Q115" i="1"/>
  <c r="Q114" i="1"/>
  <c r="C51" i="1"/>
  <c r="Q113" i="1"/>
  <c r="Q111" i="1"/>
  <c r="Q109" i="1"/>
  <c r="Q108" i="1"/>
  <c r="Q105" i="1"/>
  <c r="Q104" i="1"/>
  <c r="Q103" i="1"/>
  <c r="Q101" i="1"/>
  <c r="Q99" i="1"/>
  <c r="Q98" i="1"/>
  <c r="Q93" i="1"/>
  <c r="Q94" i="1"/>
  <c r="Q92" i="1"/>
  <c r="Q91" i="1"/>
  <c r="Q90" i="1"/>
  <c r="Q89" i="1"/>
  <c r="S51" i="1"/>
  <c r="A192" i="5" l="1"/>
  <c r="A288" i="5" s="1"/>
  <c r="A384" i="5" s="1"/>
  <c r="A480" i="5" s="1"/>
  <c r="A576" i="5" s="1"/>
  <c r="A672" i="5" s="1"/>
  <c r="A768" i="5" s="1"/>
  <c r="A191" i="5"/>
  <c r="A287" i="5" s="1"/>
  <c r="A383" i="5" s="1"/>
  <c r="A479" i="5" s="1"/>
  <c r="A575" i="5" s="1"/>
  <c r="A671" i="5" s="1"/>
  <c r="A767" i="5" s="1"/>
  <c r="A190" i="5"/>
  <c r="A286" i="5" s="1"/>
  <c r="A382" i="5" s="1"/>
  <c r="A478" i="5" s="1"/>
  <c r="A574" i="5" s="1"/>
  <c r="A670" i="5" s="1"/>
  <c r="A766" i="5" s="1"/>
  <c r="A189" i="5"/>
  <c r="A285" i="5" s="1"/>
  <c r="A381" i="5" s="1"/>
  <c r="A477" i="5" s="1"/>
  <c r="A573" i="5" s="1"/>
  <c r="A669" i="5" s="1"/>
  <c r="A765" i="5" s="1"/>
  <c r="A188" i="5"/>
  <c r="A284" i="5" s="1"/>
  <c r="A380" i="5" s="1"/>
  <c r="A476" i="5" s="1"/>
  <c r="A572" i="5" s="1"/>
  <c r="A668" i="5" s="1"/>
  <c r="A764" i="5" s="1"/>
  <c r="A187" i="5"/>
  <c r="A283" i="5" s="1"/>
  <c r="A379" i="5" s="1"/>
  <c r="A475" i="5" s="1"/>
  <c r="A571" i="5" s="1"/>
  <c r="A667" i="5" s="1"/>
  <c r="A763" i="5" s="1"/>
  <c r="A186" i="5"/>
  <c r="A282" i="5" s="1"/>
  <c r="A378" i="5" s="1"/>
  <c r="A474" i="5" s="1"/>
  <c r="A570" i="5" s="1"/>
  <c r="A666" i="5" s="1"/>
  <c r="A762" i="5" s="1"/>
  <c r="A185" i="5"/>
  <c r="A281" i="5" s="1"/>
  <c r="A377" i="5" s="1"/>
  <c r="A473" i="5" s="1"/>
  <c r="A569" i="5" s="1"/>
  <c r="A665" i="5" s="1"/>
  <c r="A761" i="5" s="1"/>
  <c r="A184" i="5"/>
  <c r="A280" i="5" s="1"/>
  <c r="A376" i="5" s="1"/>
  <c r="A472" i="5" s="1"/>
  <c r="A568" i="5" s="1"/>
  <c r="A664" i="5" s="1"/>
  <c r="A760" i="5" s="1"/>
  <c r="A183" i="5"/>
  <c r="A279" i="5" s="1"/>
  <c r="A375" i="5" s="1"/>
  <c r="A471" i="5" s="1"/>
  <c r="A567" i="5" s="1"/>
  <c r="A663" i="5" s="1"/>
  <c r="A759" i="5" s="1"/>
  <c r="A182" i="5"/>
  <c r="A278" i="5" s="1"/>
  <c r="A374" i="5" s="1"/>
  <c r="A470" i="5" s="1"/>
  <c r="A566" i="5" s="1"/>
  <c r="A662" i="5" s="1"/>
  <c r="A758" i="5" s="1"/>
  <c r="A181" i="5"/>
  <c r="A277" i="5" s="1"/>
  <c r="A373" i="5" s="1"/>
  <c r="A469" i="5" s="1"/>
  <c r="A565" i="5" s="1"/>
  <c r="A661" i="5" s="1"/>
  <c r="A757" i="5" s="1"/>
  <c r="A180" i="5"/>
  <c r="A276" i="5" s="1"/>
  <c r="A372" i="5" s="1"/>
  <c r="A468" i="5" s="1"/>
  <c r="A564" i="5" s="1"/>
  <c r="A660" i="5" s="1"/>
  <c r="A756" i="5" s="1"/>
  <c r="A179" i="5"/>
  <c r="A275" i="5" s="1"/>
  <c r="A371" i="5" s="1"/>
  <c r="A467" i="5" s="1"/>
  <c r="A563" i="5" s="1"/>
  <c r="A659" i="5" s="1"/>
  <c r="A755" i="5" s="1"/>
  <c r="A178" i="5"/>
  <c r="A274" i="5" s="1"/>
  <c r="A370" i="5" s="1"/>
  <c r="A466" i="5" s="1"/>
  <c r="A562" i="5" s="1"/>
  <c r="A658" i="5" s="1"/>
  <c r="A754" i="5" s="1"/>
  <c r="A177" i="5"/>
  <c r="A273" i="5" s="1"/>
  <c r="A369" i="5" s="1"/>
  <c r="A465" i="5" s="1"/>
  <c r="A561" i="5" s="1"/>
  <c r="A657" i="5" s="1"/>
  <c r="A753" i="5" s="1"/>
  <c r="A176" i="5"/>
  <c r="A272" i="5" s="1"/>
  <c r="A368" i="5" s="1"/>
  <c r="A464" i="5" s="1"/>
  <c r="A560" i="5" s="1"/>
  <c r="A656" i="5" s="1"/>
  <c r="A752" i="5" s="1"/>
  <c r="A175" i="5"/>
  <c r="A271" i="5" s="1"/>
  <c r="A367" i="5" s="1"/>
  <c r="A463" i="5" s="1"/>
  <c r="A559" i="5" s="1"/>
  <c r="A655" i="5" s="1"/>
  <c r="A751" i="5" s="1"/>
  <c r="A174" i="5"/>
  <c r="A270" i="5" s="1"/>
  <c r="A366" i="5" s="1"/>
  <c r="A462" i="5" s="1"/>
  <c r="A558" i="5" s="1"/>
  <c r="A654" i="5" s="1"/>
  <c r="A750" i="5" s="1"/>
  <c r="A173" i="5"/>
  <c r="A269" i="5" s="1"/>
  <c r="A365" i="5" s="1"/>
  <c r="A461" i="5" s="1"/>
  <c r="A557" i="5" s="1"/>
  <c r="A653" i="5" s="1"/>
  <c r="A749" i="5" s="1"/>
  <c r="A172" i="5"/>
  <c r="A268" i="5" s="1"/>
  <c r="A364" i="5" s="1"/>
  <c r="A460" i="5" s="1"/>
  <c r="A556" i="5" s="1"/>
  <c r="A652" i="5" s="1"/>
  <c r="A748" i="5" s="1"/>
  <c r="A171" i="5"/>
  <c r="A267" i="5" s="1"/>
  <c r="A363" i="5" s="1"/>
  <c r="A459" i="5" s="1"/>
  <c r="A555" i="5" s="1"/>
  <c r="A651" i="5" s="1"/>
  <c r="A747" i="5" s="1"/>
  <c r="A170" i="5"/>
  <c r="A266" i="5" s="1"/>
  <c r="A362" i="5" s="1"/>
  <c r="A458" i="5" s="1"/>
  <c r="A554" i="5" s="1"/>
  <c r="A650" i="5" s="1"/>
  <c r="A746" i="5" s="1"/>
  <c r="A169" i="5"/>
  <c r="A265" i="5" s="1"/>
  <c r="A361" i="5" s="1"/>
  <c r="A457" i="5" s="1"/>
  <c r="A553" i="5" s="1"/>
  <c r="A649" i="5" s="1"/>
  <c r="A745" i="5" s="1"/>
  <c r="A168" i="5"/>
  <c r="A264" i="5" s="1"/>
  <c r="A360" i="5" s="1"/>
  <c r="A456" i="5" s="1"/>
  <c r="A552" i="5" s="1"/>
  <c r="A648" i="5" s="1"/>
  <c r="A744" i="5" s="1"/>
  <c r="A167" i="5"/>
  <c r="A263" i="5" s="1"/>
  <c r="A359" i="5" s="1"/>
  <c r="A455" i="5" s="1"/>
  <c r="A551" i="5" s="1"/>
  <c r="A647" i="5" s="1"/>
  <c r="A743" i="5" s="1"/>
  <c r="A166" i="5"/>
  <c r="A262" i="5" s="1"/>
  <c r="A358" i="5" s="1"/>
  <c r="A454" i="5" s="1"/>
  <c r="A550" i="5" s="1"/>
  <c r="A646" i="5" s="1"/>
  <c r="A742" i="5" s="1"/>
  <c r="A165" i="5"/>
  <c r="A261" i="5" s="1"/>
  <c r="A357" i="5" s="1"/>
  <c r="A453" i="5" s="1"/>
  <c r="A549" i="5" s="1"/>
  <c r="A645" i="5" s="1"/>
  <c r="A741" i="5" s="1"/>
  <c r="A164" i="5"/>
  <c r="A260" i="5" s="1"/>
  <c r="A356" i="5" s="1"/>
  <c r="A452" i="5" s="1"/>
  <c r="A548" i="5" s="1"/>
  <c r="A644" i="5" s="1"/>
  <c r="A740" i="5" s="1"/>
  <c r="A163" i="5"/>
  <c r="A259" i="5" s="1"/>
  <c r="A355" i="5" s="1"/>
  <c r="A451" i="5" s="1"/>
  <c r="A547" i="5" s="1"/>
  <c r="A643" i="5" s="1"/>
  <c r="A739" i="5" s="1"/>
  <c r="A162" i="5"/>
  <c r="A258" i="5" s="1"/>
  <c r="A354" i="5" s="1"/>
  <c r="A450" i="5" s="1"/>
  <c r="A546" i="5" s="1"/>
  <c r="A642" i="5" s="1"/>
  <c r="A738" i="5" s="1"/>
  <c r="A161" i="5"/>
  <c r="A257" i="5" s="1"/>
  <c r="A353" i="5" s="1"/>
  <c r="A449" i="5" s="1"/>
  <c r="A545" i="5" s="1"/>
  <c r="A641" i="5" s="1"/>
  <c r="A737" i="5" s="1"/>
  <c r="A160" i="5"/>
  <c r="A256" i="5" s="1"/>
  <c r="A352" i="5" s="1"/>
  <c r="A448" i="5" s="1"/>
  <c r="A544" i="5" s="1"/>
  <c r="A640" i="5" s="1"/>
  <c r="A736" i="5" s="1"/>
  <c r="A159" i="5"/>
  <c r="A255" i="5" s="1"/>
  <c r="A351" i="5" s="1"/>
  <c r="A447" i="5" s="1"/>
  <c r="A543" i="5" s="1"/>
  <c r="A639" i="5" s="1"/>
  <c r="A735" i="5" s="1"/>
  <c r="A158" i="5"/>
  <c r="A254" i="5" s="1"/>
  <c r="A350" i="5" s="1"/>
  <c r="A446" i="5" s="1"/>
  <c r="A542" i="5" s="1"/>
  <c r="A638" i="5" s="1"/>
  <c r="A734" i="5" s="1"/>
  <c r="A157" i="5"/>
  <c r="A253" i="5" s="1"/>
  <c r="A349" i="5" s="1"/>
  <c r="A445" i="5" s="1"/>
  <c r="A541" i="5" s="1"/>
  <c r="A637" i="5" s="1"/>
  <c r="A733" i="5" s="1"/>
  <c r="A156" i="5"/>
  <c r="A252" i="5" s="1"/>
  <c r="A348" i="5" s="1"/>
  <c r="A444" i="5" s="1"/>
  <c r="A540" i="5" s="1"/>
  <c r="A636" i="5" s="1"/>
  <c r="A732" i="5" s="1"/>
  <c r="A155" i="5"/>
  <c r="A251" i="5" s="1"/>
  <c r="A347" i="5" s="1"/>
  <c r="A443" i="5" s="1"/>
  <c r="A539" i="5" s="1"/>
  <c r="A635" i="5" s="1"/>
  <c r="A731" i="5" s="1"/>
  <c r="A154" i="5"/>
  <c r="A250" i="5" s="1"/>
  <c r="A346" i="5" s="1"/>
  <c r="A442" i="5" s="1"/>
  <c r="A538" i="5" s="1"/>
  <c r="A634" i="5" s="1"/>
  <c r="A730" i="5" s="1"/>
  <c r="A153" i="5"/>
  <c r="A249" i="5" s="1"/>
  <c r="A345" i="5" s="1"/>
  <c r="A441" i="5" s="1"/>
  <c r="A537" i="5" s="1"/>
  <c r="A633" i="5" s="1"/>
  <c r="A729" i="5" s="1"/>
  <c r="A152" i="5"/>
  <c r="A248" i="5" s="1"/>
  <c r="A344" i="5" s="1"/>
  <c r="A440" i="5" s="1"/>
  <c r="A536" i="5" s="1"/>
  <c r="A632" i="5" s="1"/>
  <c r="A728" i="5" s="1"/>
  <c r="A151" i="5"/>
  <c r="A247" i="5" s="1"/>
  <c r="A343" i="5" s="1"/>
  <c r="A439" i="5" s="1"/>
  <c r="A535" i="5" s="1"/>
  <c r="A631" i="5" s="1"/>
  <c r="A727" i="5" s="1"/>
  <c r="A150" i="5"/>
  <c r="A246" i="5" s="1"/>
  <c r="A342" i="5" s="1"/>
  <c r="A438" i="5" s="1"/>
  <c r="A534" i="5" s="1"/>
  <c r="A630" i="5" s="1"/>
  <c r="A726" i="5" s="1"/>
  <c r="A149" i="5"/>
  <c r="A245" i="5" s="1"/>
  <c r="A341" i="5" s="1"/>
  <c r="A437" i="5" s="1"/>
  <c r="A533" i="5" s="1"/>
  <c r="A629" i="5" s="1"/>
  <c r="A725" i="5" s="1"/>
  <c r="A148" i="5"/>
  <c r="A244" i="5" s="1"/>
  <c r="A340" i="5" s="1"/>
  <c r="A436" i="5" s="1"/>
  <c r="A532" i="5" s="1"/>
  <c r="A628" i="5" s="1"/>
  <c r="A724" i="5" s="1"/>
  <c r="A147" i="5"/>
  <c r="A243" i="5" s="1"/>
  <c r="A339" i="5" s="1"/>
  <c r="A435" i="5" s="1"/>
  <c r="A531" i="5" s="1"/>
  <c r="A627" i="5" s="1"/>
  <c r="A723" i="5" s="1"/>
  <c r="A146" i="5"/>
  <c r="A242" i="5" s="1"/>
  <c r="A338" i="5" s="1"/>
  <c r="A434" i="5" s="1"/>
  <c r="A530" i="5" s="1"/>
  <c r="A626" i="5" s="1"/>
  <c r="A722" i="5" s="1"/>
  <c r="A145" i="5"/>
  <c r="A241" i="5" s="1"/>
  <c r="A337" i="5" s="1"/>
  <c r="A433" i="5" s="1"/>
  <c r="A529" i="5" s="1"/>
  <c r="A625" i="5" s="1"/>
  <c r="A721" i="5" s="1"/>
  <c r="A144" i="5"/>
  <c r="A240" i="5" s="1"/>
  <c r="A336" i="5" s="1"/>
  <c r="A432" i="5" s="1"/>
  <c r="A528" i="5" s="1"/>
  <c r="A624" i="5" s="1"/>
  <c r="A720" i="5" s="1"/>
  <c r="A143" i="5"/>
  <c r="A239" i="5" s="1"/>
  <c r="A335" i="5" s="1"/>
  <c r="A431" i="5" s="1"/>
  <c r="A527" i="5" s="1"/>
  <c r="A623" i="5" s="1"/>
  <c r="A719" i="5" s="1"/>
  <c r="A142" i="5"/>
  <c r="A238" i="5" s="1"/>
  <c r="A334" i="5" s="1"/>
  <c r="A430" i="5" s="1"/>
  <c r="A526" i="5" s="1"/>
  <c r="A622" i="5" s="1"/>
  <c r="A718" i="5" s="1"/>
  <c r="A141" i="5"/>
  <c r="A237" i="5" s="1"/>
  <c r="A333" i="5" s="1"/>
  <c r="A429" i="5" s="1"/>
  <c r="A525" i="5" s="1"/>
  <c r="A621" i="5" s="1"/>
  <c r="A717" i="5" s="1"/>
  <c r="A140" i="5"/>
  <c r="A236" i="5" s="1"/>
  <c r="A332" i="5" s="1"/>
  <c r="A428" i="5" s="1"/>
  <c r="A524" i="5" s="1"/>
  <c r="A620" i="5" s="1"/>
  <c r="A716" i="5" s="1"/>
  <c r="A139" i="5"/>
  <c r="A235" i="5" s="1"/>
  <c r="A331" i="5" s="1"/>
  <c r="A427" i="5" s="1"/>
  <c r="A523" i="5" s="1"/>
  <c r="A619" i="5" s="1"/>
  <c r="A715" i="5" s="1"/>
  <c r="A138" i="5"/>
  <c r="A234" i="5" s="1"/>
  <c r="A330" i="5" s="1"/>
  <c r="A426" i="5" s="1"/>
  <c r="A522" i="5" s="1"/>
  <c r="A618" i="5" s="1"/>
  <c r="A714" i="5" s="1"/>
  <c r="A137" i="5"/>
  <c r="A233" i="5" s="1"/>
  <c r="A329" i="5" s="1"/>
  <c r="A425" i="5" s="1"/>
  <c r="A521" i="5" s="1"/>
  <c r="A617" i="5" s="1"/>
  <c r="A713" i="5" s="1"/>
  <c r="A136" i="5"/>
  <c r="A232" i="5" s="1"/>
  <c r="A328" i="5" s="1"/>
  <c r="A424" i="5" s="1"/>
  <c r="A520" i="5" s="1"/>
  <c r="A616" i="5" s="1"/>
  <c r="A712" i="5" s="1"/>
  <c r="A135" i="5"/>
  <c r="A231" i="5" s="1"/>
  <c r="A327" i="5" s="1"/>
  <c r="A423" i="5" s="1"/>
  <c r="A519" i="5" s="1"/>
  <c r="A615" i="5" s="1"/>
  <c r="A711" i="5" s="1"/>
  <c r="A134" i="5"/>
  <c r="A230" i="5" s="1"/>
  <c r="A326" i="5" s="1"/>
  <c r="A422" i="5" s="1"/>
  <c r="A518" i="5" s="1"/>
  <c r="A614" i="5" s="1"/>
  <c r="A710" i="5" s="1"/>
  <c r="A133" i="5"/>
  <c r="A229" i="5" s="1"/>
  <c r="A325" i="5" s="1"/>
  <c r="A421" i="5" s="1"/>
  <c r="A517" i="5" s="1"/>
  <c r="A613" i="5" s="1"/>
  <c r="A709" i="5" s="1"/>
  <c r="A132" i="5"/>
  <c r="A228" i="5" s="1"/>
  <c r="A324" i="5" s="1"/>
  <c r="A420" i="5" s="1"/>
  <c r="A516" i="5" s="1"/>
  <c r="A612" i="5" s="1"/>
  <c r="A708" i="5" s="1"/>
  <c r="A131" i="5"/>
  <c r="A227" i="5" s="1"/>
  <c r="A323" i="5" s="1"/>
  <c r="A419" i="5" s="1"/>
  <c r="A515" i="5" s="1"/>
  <c r="A611" i="5" s="1"/>
  <c r="A707" i="5" s="1"/>
  <c r="A130" i="5"/>
  <c r="A226" i="5" s="1"/>
  <c r="A322" i="5" s="1"/>
  <c r="A418" i="5" s="1"/>
  <c r="A514" i="5" s="1"/>
  <c r="A610" i="5" s="1"/>
  <c r="A706" i="5" s="1"/>
  <c r="A129" i="5"/>
  <c r="A225" i="5" s="1"/>
  <c r="A321" i="5" s="1"/>
  <c r="A417" i="5" s="1"/>
  <c r="A513" i="5" s="1"/>
  <c r="A609" i="5" s="1"/>
  <c r="A705" i="5" s="1"/>
  <c r="A128" i="5"/>
  <c r="A224" i="5" s="1"/>
  <c r="A320" i="5" s="1"/>
  <c r="A416" i="5" s="1"/>
  <c r="A512" i="5" s="1"/>
  <c r="A608" i="5" s="1"/>
  <c r="A704" i="5" s="1"/>
  <c r="A127" i="5"/>
  <c r="A223" i="5" s="1"/>
  <c r="A319" i="5" s="1"/>
  <c r="A415" i="5" s="1"/>
  <c r="A511" i="5" s="1"/>
  <c r="A607" i="5" s="1"/>
  <c r="A703" i="5" s="1"/>
  <c r="A126" i="5"/>
  <c r="A222" i="5" s="1"/>
  <c r="A318" i="5" s="1"/>
  <c r="A414" i="5" s="1"/>
  <c r="A510" i="5" s="1"/>
  <c r="A606" i="5" s="1"/>
  <c r="A702" i="5" s="1"/>
  <c r="A125" i="5"/>
  <c r="A221" i="5" s="1"/>
  <c r="A317" i="5" s="1"/>
  <c r="A413" i="5" s="1"/>
  <c r="A509" i="5" s="1"/>
  <c r="A605" i="5" s="1"/>
  <c r="A701" i="5" s="1"/>
  <c r="A124" i="5"/>
  <c r="A220" i="5" s="1"/>
  <c r="A316" i="5" s="1"/>
  <c r="A412" i="5" s="1"/>
  <c r="A508" i="5" s="1"/>
  <c r="A604" i="5" s="1"/>
  <c r="A700" i="5" s="1"/>
  <c r="A123" i="5"/>
  <c r="A219" i="5" s="1"/>
  <c r="A315" i="5" s="1"/>
  <c r="A411" i="5" s="1"/>
  <c r="A507" i="5" s="1"/>
  <c r="A603" i="5" s="1"/>
  <c r="A699" i="5" s="1"/>
  <c r="A122" i="5"/>
  <c r="A218" i="5" s="1"/>
  <c r="A314" i="5" s="1"/>
  <c r="A410" i="5" s="1"/>
  <c r="A506" i="5" s="1"/>
  <c r="A602" i="5" s="1"/>
  <c r="A698" i="5" s="1"/>
  <c r="A121" i="5"/>
  <c r="A217" i="5" s="1"/>
  <c r="A313" i="5" s="1"/>
  <c r="A409" i="5" s="1"/>
  <c r="A505" i="5" s="1"/>
  <c r="A601" i="5" s="1"/>
  <c r="A697" i="5" s="1"/>
  <c r="A120" i="5"/>
  <c r="A216" i="5" s="1"/>
  <c r="A312" i="5" s="1"/>
  <c r="A408" i="5" s="1"/>
  <c r="A504" i="5" s="1"/>
  <c r="A600" i="5" s="1"/>
  <c r="A696" i="5" s="1"/>
  <c r="A119" i="5"/>
  <c r="A215" i="5" s="1"/>
  <c r="A311" i="5" s="1"/>
  <c r="A407" i="5" s="1"/>
  <c r="A503" i="5" s="1"/>
  <c r="A599" i="5" s="1"/>
  <c r="A695" i="5" s="1"/>
  <c r="A118" i="5"/>
  <c r="A214" i="5" s="1"/>
  <c r="A310" i="5" s="1"/>
  <c r="A406" i="5" s="1"/>
  <c r="A502" i="5" s="1"/>
  <c r="A598" i="5" s="1"/>
  <c r="A694" i="5" s="1"/>
  <c r="A117" i="5"/>
  <c r="A213" i="5" s="1"/>
  <c r="A309" i="5" s="1"/>
  <c r="A405" i="5" s="1"/>
  <c r="A501" i="5" s="1"/>
  <c r="A597" i="5" s="1"/>
  <c r="A693" i="5" s="1"/>
  <c r="A116" i="5"/>
  <c r="A212" i="5" s="1"/>
  <c r="A308" i="5" s="1"/>
  <c r="A404" i="5" s="1"/>
  <c r="A500" i="5" s="1"/>
  <c r="A596" i="5" s="1"/>
  <c r="A692" i="5" s="1"/>
  <c r="A115" i="5"/>
  <c r="A211" i="5" s="1"/>
  <c r="A307" i="5" s="1"/>
  <c r="A403" i="5" s="1"/>
  <c r="A499" i="5" s="1"/>
  <c r="A595" i="5" s="1"/>
  <c r="A691" i="5" s="1"/>
  <c r="A114" i="5"/>
  <c r="A210" i="5" s="1"/>
  <c r="A306" i="5" s="1"/>
  <c r="A402" i="5" s="1"/>
  <c r="A498" i="5" s="1"/>
  <c r="A594" i="5" s="1"/>
  <c r="A690" i="5" s="1"/>
  <c r="A113" i="5"/>
  <c r="A209" i="5" s="1"/>
  <c r="A305" i="5" s="1"/>
  <c r="A401" i="5" s="1"/>
  <c r="A497" i="5" s="1"/>
  <c r="A593" i="5" s="1"/>
  <c r="A689" i="5" s="1"/>
  <c r="A112" i="5"/>
  <c r="A208" i="5" s="1"/>
  <c r="A304" i="5" s="1"/>
  <c r="A400" i="5" s="1"/>
  <c r="A496" i="5" s="1"/>
  <c r="A592" i="5" s="1"/>
  <c r="A688" i="5" s="1"/>
  <c r="A111" i="5"/>
  <c r="A207" i="5" s="1"/>
  <c r="A303" i="5" s="1"/>
  <c r="A399" i="5" s="1"/>
  <c r="A495" i="5" s="1"/>
  <c r="A591" i="5" s="1"/>
  <c r="A687" i="5" s="1"/>
  <c r="A110" i="5"/>
  <c r="A206" i="5" s="1"/>
  <c r="A302" i="5" s="1"/>
  <c r="A398" i="5" s="1"/>
  <c r="A494" i="5" s="1"/>
  <c r="A590" i="5" s="1"/>
  <c r="A686" i="5" s="1"/>
  <c r="A109" i="5"/>
  <c r="A205" i="5" s="1"/>
  <c r="A301" i="5" s="1"/>
  <c r="A397" i="5" s="1"/>
  <c r="A493" i="5" s="1"/>
  <c r="A589" i="5" s="1"/>
  <c r="A685" i="5" s="1"/>
  <c r="A108" i="5"/>
  <c r="A204" i="5" s="1"/>
  <c r="A300" i="5" s="1"/>
  <c r="A396" i="5" s="1"/>
  <c r="A492" i="5" s="1"/>
  <c r="A588" i="5" s="1"/>
  <c r="A684" i="5" s="1"/>
  <c r="A107" i="5"/>
  <c r="A203" i="5" s="1"/>
  <c r="A299" i="5" s="1"/>
  <c r="A395" i="5" s="1"/>
  <c r="A491" i="5" s="1"/>
  <c r="A587" i="5" s="1"/>
  <c r="A683" i="5" s="1"/>
  <c r="A106" i="5"/>
  <c r="A202" i="5" s="1"/>
  <c r="A298" i="5" s="1"/>
  <c r="A394" i="5" s="1"/>
  <c r="A490" i="5" s="1"/>
  <c r="A586" i="5" s="1"/>
  <c r="A682" i="5" s="1"/>
  <c r="A105" i="5"/>
  <c r="A201" i="5" s="1"/>
  <c r="A297" i="5" s="1"/>
  <c r="A393" i="5" s="1"/>
  <c r="A489" i="5" s="1"/>
  <c r="A585" i="5" s="1"/>
  <c r="A681" i="5" s="1"/>
  <c r="A104" i="5"/>
  <c r="A200" i="5" s="1"/>
  <c r="A296" i="5" s="1"/>
  <c r="A392" i="5" s="1"/>
  <c r="A488" i="5" s="1"/>
  <c r="A584" i="5" s="1"/>
  <c r="A680" i="5" s="1"/>
  <c r="A103" i="5"/>
  <c r="A199" i="5" s="1"/>
  <c r="A295" i="5" s="1"/>
  <c r="A391" i="5" s="1"/>
  <c r="A487" i="5" s="1"/>
  <c r="A583" i="5" s="1"/>
  <c r="A679" i="5" s="1"/>
  <c r="A102" i="5"/>
  <c r="A198" i="5" s="1"/>
  <c r="A294" i="5" s="1"/>
  <c r="A390" i="5" s="1"/>
  <c r="A486" i="5" s="1"/>
  <c r="A582" i="5" s="1"/>
  <c r="A678" i="5" s="1"/>
  <c r="A101" i="5"/>
  <c r="A197" i="5" s="1"/>
  <c r="A293" i="5" s="1"/>
  <c r="A389" i="5" s="1"/>
  <c r="A485" i="5" s="1"/>
  <c r="A581" i="5" s="1"/>
  <c r="A677" i="5" s="1"/>
  <c r="A100" i="5"/>
  <c r="A196" i="5" s="1"/>
  <c r="A292" i="5" s="1"/>
  <c r="A388" i="5" s="1"/>
  <c r="A484" i="5" s="1"/>
  <c r="A580" i="5" s="1"/>
  <c r="A676" i="5" s="1"/>
  <c r="A99" i="5"/>
  <c r="A195" i="5" s="1"/>
  <c r="A291" i="5" s="1"/>
  <c r="A387" i="5" s="1"/>
  <c r="A483" i="5" s="1"/>
  <c r="A579" i="5" s="1"/>
  <c r="A675" i="5" s="1"/>
  <c r="A98" i="5"/>
  <c r="A194" i="5" s="1"/>
  <c r="A290" i="5" s="1"/>
  <c r="A386" i="5" s="1"/>
  <c r="A482" i="5" s="1"/>
  <c r="A578" i="5" s="1"/>
  <c r="A674" i="5" s="1"/>
  <c r="A97" i="5"/>
  <c r="A193" i="5" s="1"/>
  <c r="A289" i="5" s="1"/>
  <c r="A385" i="5" s="1"/>
  <c r="A481" i="5" s="1"/>
  <c r="A577" i="5" s="1"/>
  <c r="A673" i="5" s="1"/>
  <c r="A769" i="5" s="1"/>
  <c r="C1" i="5" l="1"/>
  <c r="Q41" i="1"/>
  <c r="S41" i="1"/>
  <c r="Q42" i="1" l="1"/>
  <c r="C43" i="1" s="1"/>
  <c r="Q107" i="1" s="1"/>
  <c r="S9" i="1"/>
  <c r="Q9" i="1"/>
  <c r="C34" i="1" l="1"/>
  <c r="C33" i="1"/>
  <c r="Q44" i="1" l="1"/>
  <c r="C29" i="1" s="1"/>
  <c r="S50" i="1"/>
  <c r="S49" i="1"/>
  <c r="S48" i="1"/>
  <c r="S47" i="1"/>
  <c r="Q68" i="1"/>
  <c r="Q67" i="1"/>
  <c r="Q66" i="1"/>
  <c r="Q37" i="1" s="1"/>
  <c r="Q38" i="1" s="1"/>
  <c r="C39" i="1" s="1"/>
  <c r="C26" i="1" l="1"/>
  <c r="Q96" i="1" s="1"/>
  <c r="S20" i="1"/>
  <c r="S23" i="1" l="1"/>
  <c r="Q65" i="1"/>
  <c r="Q64" i="1"/>
  <c r="Q63" i="1"/>
  <c r="Q32" i="1" s="1"/>
  <c r="C35" i="1" s="1"/>
  <c r="Q100" i="1" s="1"/>
  <c r="Q62" i="1"/>
  <c r="Q61" i="1"/>
  <c r="Q59" i="1"/>
  <c r="Q58" i="1"/>
  <c r="Q57" i="1"/>
  <c r="Q56" i="1"/>
  <c r="Q55" i="1"/>
  <c r="S22" i="1"/>
  <c r="Q47" i="1" l="1"/>
  <c r="Q49" i="1" s="1"/>
  <c r="Q22" i="1"/>
  <c r="Q60" i="1"/>
  <c r="S21" i="1" l="1"/>
  <c r="S17" i="1"/>
  <c r="S16" i="1"/>
  <c r="S15" i="1"/>
  <c r="S18" i="1"/>
  <c r="S14" i="1"/>
  <c r="S13" i="1"/>
  <c r="S11" i="1"/>
  <c r="S12" i="1"/>
  <c r="Q12" i="1"/>
  <c r="S10" i="1"/>
  <c r="Q10" i="1"/>
  <c r="Q11" i="1" s="1"/>
  <c r="Q13" i="1" l="1"/>
  <c r="Q14" i="1" s="1"/>
  <c r="Q15" i="1" s="1"/>
  <c r="Q20" i="1" s="1"/>
  <c r="Q45" i="1" s="1"/>
  <c r="Q46" i="1" s="1"/>
  <c r="Q48" i="1" s="1"/>
  <c r="Q50" i="1" s="1"/>
  <c r="Q51" i="1" s="1"/>
  <c r="C49" i="1" s="1"/>
  <c r="Q112" i="1" s="1"/>
  <c r="Q16" i="1" l="1"/>
  <c r="Q18" i="1" s="1"/>
  <c r="Q19" i="1" s="1"/>
  <c r="Q17" i="1"/>
  <c r="Q23" i="1"/>
  <c r="Q21" i="1" l="1"/>
  <c r="C22" i="1" s="1"/>
  <c r="C21" i="1"/>
  <c r="Q73" i="1" l="1"/>
  <c r="Q35" i="1" s="1"/>
  <c r="Q36" i="1" s="1"/>
  <c r="C42" i="1" s="1"/>
  <c r="Q106" i="1" s="1"/>
  <c r="Q39" i="1" l="1"/>
  <c r="Q40" i="1" s="1"/>
  <c r="Q102" i="1" s="1"/>
  <c r="F356" i="1"/>
  <c r="G356" i="1" s="1"/>
  <c r="H356" i="1" s="1"/>
  <c r="I356" i="1" s="1"/>
  <c r="J356" i="1" s="1"/>
  <c r="K356" i="1" s="1"/>
  <c r="F355" i="1"/>
  <c r="G355" i="1" s="1"/>
  <c r="H355" i="1" s="1"/>
  <c r="I355" i="1" s="1"/>
  <c r="J355" i="1" s="1"/>
  <c r="K355" i="1" s="1"/>
  <c r="F354" i="1"/>
  <c r="G354" i="1" s="1"/>
  <c r="H354" i="1" s="1"/>
  <c r="I354" i="1" s="1"/>
  <c r="J354" i="1" s="1"/>
  <c r="K354" i="1" s="1"/>
  <c r="F353" i="1"/>
  <c r="G353" i="1" s="1"/>
  <c r="H353" i="1" s="1"/>
  <c r="I353" i="1" s="1"/>
  <c r="J353" i="1" s="1"/>
  <c r="K353" i="1" s="1"/>
  <c r="F352" i="1"/>
  <c r="G352" i="1" s="1"/>
  <c r="H352" i="1" s="1"/>
  <c r="I352" i="1" s="1"/>
  <c r="J352" i="1" s="1"/>
  <c r="K352" i="1" s="1"/>
  <c r="F351" i="1"/>
  <c r="G351" i="1" s="1"/>
  <c r="H351" i="1" s="1"/>
  <c r="I351" i="1" s="1"/>
  <c r="J351" i="1" s="1"/>
  <c r="K351" i="1" s="1"/>
  <c r="F350" i="1"/>
  <c r="G350" i="1" s="1"/>
  <c r="H350" i="1" s="1"/>
  <c r="I350" i="1" s="1"/>
  <c r="J350" i="1" s="1"/>
  <c r="K350" i="1" s="1"/>
  <c r="F349" i="1"/>
  <c r="G349" i="1" s="1"/>
  <c r="H349" i="1" s="1"/>
  <c r="I349" i="1" s="1"/>
  <c r="J349" i="1" s="1"/>
  <c r="K349" i="1" s="1"/>
  <c r="F348" i="1"/>
  <c r="G348" i="1" s="1"/>
  <c r="H348" i="1" s="1"/>
  <c r="I348" i="1" s="1"/>
  <c r="J348" i="1" s="1"/>
  <c r="K348" i="1" s="1"/>
  <c r="F347" i="1"/>
  <c r="G347" i="1" s="1"/>
  <c r="H347" i="1" s="1"/>
  <c r="I347" i="1" s="1"/>
  <c r="J347" i="1" s="1"/>
  <c r="K347" i="1" s="1"/>
  <c r="F346" i="1"/>
  <c r="G346" i="1" s="1"/>
  <c r="H346" i="1" s="1"/>
  <c r="I346" i="1" s="1"/>
  <c r="J346" i="1" s="1"/>
  <c r="K346" i="1" s="1"/>
  <c r="F345" i="1"/>
  <c r="G345" i="1" s="1"/>
  <c r="H345" i="1" s="1"/>
  <c r="I345" i="1" s="1"/>
  <c r="J345" i="1" s="1"/>
  <c r="K345" i="1" s="1"/>
  <c r="F344" i="1"/>
  <c r="G344" i="1" s="1"/>
  <c r="H344" i="1" s="1"/>
  <c r="I344" i="1" s="1"/>
  <c r="J344" i="1" s="1"/>
  <c r="K344" i="1" s="1"/>
  <c r="F343" i="1"/>
  <c r="G343" i="1" s="1"/>
  <c r="H343" i="1" s="1"/>
  <c r="I343" i="1" s="1"/>
  <c r="J343" i="1" s="1"/>
  <c r="K343" i="1" s="1"/>
  <c r="F342" i="1"/>
  <c r="G342" i="1" s="1"/>
  <c r="H342" i="1" s="1"/>
  <c r="I342" i="1" s="1"/>
  <c r="J342" i="1" s="1"/>
  <c r="K342" i="1" s="1"/>
  <c r="F341" i="1"/>
  <c r="G341" i="1" s="1"/>
  <c r="H341" i="1" s="1"/>
  <c r="I341" i="1" s="1"/>
  <c r="J341" i="1" s="1"/>
  <c r="K341" i="1" s="1"/>
  <c r="F340" i="1"/>
  <c r="G340" i="1" s="1"/>
  <c r="H340" i="1" s="1"/>
  <c r="I340" i="1" s="1"/>
  <c r="J340" i="1" s="1"/>
  <c r="K340" i="1" s="1"/>
  <c r="F339" i="1"/>
  <c r="G339" i="1" s="1"/>
  <c r="H339" i="1" s="1"/>
  <c r="I339" i="1" s="1"/>
  <c r="J339" i="1" s="1"/>
  <c r="K339" i="1" s="1"/>
  <c r="F338" i="1"/>
  <c r="G338" i="1" s="1"/>
  <c r="H338" i="1" s="1"/>
  <c r="I338" i="1" s="1"/>
  <c r="J338" i="1" s="1"/>
  <c r="K338" i="1" s="1"/>
  <c r="F337" i="1"/>
  <c r="G337" i="1" s="1"/>
  <c r="H337" i="1" s="1"/>
  <c r="I337" i="1" s="1"/>
  <c r="J337" i="1" s="1"/>
  <c r="K337" i="1" s="1"/>
  <c r="F336" i="1"/>
  <c r="G336" i="1" s="1"/>
  <c r="H336" i="1" s="1"/>
  <c r="I336" i="1" s="1"/>
  <c r="J336" i="1" s="1"/>
  <c r="K336" i="1" s="1"/>
  <c r="F335" i="1"/>
  <c r="G335" i="1" s="1"/>
  <c r="H335" i="1" s="1"/>
  <c r="I335" i="1" s="1"/>
  <c r="J335" i="1" s="1"/>
  <c r="K335" i="1" s="1"/>
  <c r="F334" i="1"/>
  <c r="G334" i="1" s="1"/>
  <c r="H334" i="1" s="1"/>
  <c r="I334" i="1" s="1"/>
  <c r="J334" i="1" s="1"/>
  <c r="K334" i="1" s="1"/>
  <c r="F333" i="1"/>
  <c r="G333" i="1" s="1"/>
  <c r="H333" i="1" s="1"/>
  <c r="I333" i="1" s="1"/>
  <c r="J333" i="1" s="1"/>
  <c r="K333" i="1" s="1"/>
  <c r="F332" i="1"/>
  <c r="G332" i="1" s="1"/>
  <c r="H332" i="1" s="1"/>
  <c r="I332" i="1" s="1"/>
  <c r="J332" i="1" s="1"/>
  <c r="K332" i="1" s="1"/>
  <c r="F331" i="1"/>
  <c r="G331" i="1" s="1"/>
  <c r="H331" i="1" s="1"/>
  <c r="I331" i="1" s="1"/>
  <c r="J331" i="1" s="1"/>
  <c r="K331" i="1" s="1"/>
  <c r="F330" i="1"/>
  <c r="G330" i="1" s="1"/>
  <c r="H330" i="1" s="1"/>
  <c r="I330" i="1" s="1"/>
  <c r="J330" i="1" s="1"/>
  <c r="K330" i="1" s="1"/>
  <c r="F329" i="1"/>
  <c r="G329" i="1" s="1"/>
  <c r="H329" i="1" s="1"/>
  <c r="I329" i="1" s="1"/>
  <c r="J329" i="1" s="1"/>
  <c r="K329" i="1" s="1"/>
  <c r="F328" i="1"/>
  <c r="G328" i="1" s="1"/>
  <c r="H328" i="1" s="1"/>
  <c r="I328" i="1" s="1"/>
  <c r="J328" i="1" s="1"/>
  <c r="K328" i="1" s="1"/>
  <c r="F327" i="1"/>
  <c r="G327" i="1" s="1"/>
  <c r="H327" i="1" s="1"/>
  <c r="I327" i="1" s="1"/>
  <c r="J327" i="1" s="1"/>
  <c r="K327" i="1" s="1"/>
  <c r="F326" i="1"/>
  <c r="G326" i="1" s="1"/>
  <c r="H326" i="1" s="1"/>
  <c r="I326" i="1" s="1"/>
  <c r="J326" i="1" s="1"/>
  <c r="K326" i="1" s="1"/>
  <c r="F325" i="1"/>
  <c r="G325" i="1" s="1"/>
  <c r="H325" i="1" s="1"/>
  <c r="I325" i="1" s="1"/>
  <c r="J325" i="1" s="1"/>
  <c r="K325" i="1" s="1"/>
  <c r="F324" i="1"/>
  <c r="G324" i="1" s="1"/>
  <c r="H324" i="1" s="1"/>
  <c r="I324" i="1" s="1"/>
  <c r="J324" i="1" s="1"/>
  <c r="K324" i="1" s="1"/>
  <c r="F323" i="1"/>
  <c r="G323" i="1" s="1"/>
  <c r="H323" i="1" s="1"/>
  <c r="I323" i="1" s="1"/>
  <c r="J323" i="1" s="1"/>
  <c r="K323" i="1" s="1"/>
  <c r="F322" i="1"/>
  <c r="G322" i="1" s="1"/>
  <c r="H322" i="1" s="1"/>
  <c r="I322" i="1" s="1"/>
  <c r="J322" i="1" s="1"/>
  <c r="K322" i="1" s="1"/>
  <c r="F321" i="1"/>
  <c r="G321" i="1" s="1"/>
  <c r="H321" i="1" s="1"/>
  <c r="I321" i="1" s="1"/>
  <c r="J321" i="1" s="1"/>
  <c r="K321" i="1" s="1"/>
  <c r="F320" i="1"/>
  <c r="G320" i="1" s="1"/>
  <c r="H320" i="1" s="1"/>
  <c r="I320" i="1" s="1"/>
  <c r="J320" i="1" s="1"/>
  <c r="K320" i="1" s="1"/>
  <c r="F319" i="1"/>
  <c r="G319" i="1" s="1"/>
  <c r="H319" i="1" s="1"/>
  <c r="I319" i="1" s="1"/>
  <c r="J319" i="1" s="1"/>
  <c r="K319" i="1" s="1"/>
  <c r="F318" i="1"/>
  <c r="G318" i="1" s="1"/>
  <c r="H318" i="1" s="1"/>
  <c r="I318" i="1" s="1"/>
  <c r="J318" i="1" s="1"/>
  <c r="K318" i="1" s="1"/>
  <c r="F317" i="1"/>
  <c r="G317" i="1" s="1"/>
  <c r="H317" i="1" s="1"/>
  <c r="I317" i="1" s="1"/>
  <c r="J317" i="1" s="1"/>
  <c r="K317" i="1" s="1"/>
  <c r="F316" i="1"/>
  <c r="G316" i="1" s="1"/>
  <c r="H316" i="1" s="1"/>
  <c r="I316" i="1" s="1"/>
  <c r="J316" i="1" s="1"/>
  <c r="K316" i="1" s="1"/>
  <c r="F315" i="1"/>
  <c r="G315" i="1" s="1"/>
  <c r="H315" i="1" s="1"/>
  <c r="I315" i="1" s="1"/>
  <c r="J315" i="1" s="1"/>
  <c r="K315" i="1" s="1"/>
  <c r="F314" i="1"/>
  <c r="G314" i="1" s="1"/>
  <c r="H314" i="1" s="1"/>
  <c r="I314" i="1" s="1"/>
  <c r="J314" i="1" s="1"/>
  <c r="K314" i="1" s="1"/>
  <c r="F313" i="1"/>
  <c r="G313" i="1" s="1"/>
  <c r="H313" i="1" s="1"/>
  <c r="I313" i="1" s="1"/>
  <c r="J313" i="1" s="1"/>
  <c r="K313" i="1" s="1"/>
  <c r="F312" i="1"/>
  <c r="G312" i="1" s="1"/>
  <c r="H312" i="1" s="1"/>
  <c r="I312" i="1" s="1"/>
  <c r="J312" i="1" s="1"/>
  <c r="K312" i="1" s="1"/>
  <c r="F311" i="1"/>
  <c r="G311" i="1" s="1"/>
  <c r="H311" i="1" s="1"/>
  <c r="I311" i="1" s="1"/>
  <c r="J311" i="1" s="1"/>
  <c r="K311" i="1" s="1"/>
  <c r="F310" i="1"/>
  <c r="G310" i="1" s="1"/>
  <c r="H310" i="1" s="1"/>
  <c r="I310" i="1" s="1"/>
  <c r="J310" i="1" s="1"/>
  <c r="K310" i="1" s="1"/>
  <c r="F309" i="1"/>
  <c r="G309" i="1" s="1"/>
  <c r="H309" i="1" s="1"/>
  <c r="I309" i="1" s="1"/>
  <c r="J309" i="1" s="1"/>
  <c r="K309" i="1" s="1"/>
  <c r="F308" i="1"/>
  <c r="G308" i="1" s="1"/>
  <c r="H308" i="1" s="1"/>
  <c r="I308" i="1" s="1"/>
  <c r="J308" i="1" s="1"/>
  <c r="K308" i="1" s="1"/>
  <c r="F307" i="1"/>
  <c r="G307" i="1" s="1"/>
  <c r="H307" i="1" s="1"/>
  <c r="I307" i="1" s="1"/>
  <c r="J307" i="1" s="1"/>
  <c r="K307" i="1" s="1"/>
  <c r="F306" i="1"/>
  <c r="G306" i="1" s="1"/>
  <c r="H306" i="1" s="1"/>
  <c r="I306" i="1" s="1"/>
  <c r="J306" i="1" s="1"/>
  <c r="K306" i="1" s="1"/>
  <c r="F305" i="1"/>
  <c r="G305" i="1" s="1"/>
  <c r="H305" i="1" s="1"/>
  <c r="I305" i="1" s="1"/>
  <c r="J305" i="1" s="1"/>
  <c r="K305" i="1" s="1"/>
  <c r="F304" i="1"/>
  <c r="G304" i="1" s="1"/>
  <c r="H304" i="1" s="1"/>
  <c r="I304" i="1" s="1"/>
  <c r="J304" i="1" s="1"/>
  <c r="K304" i="1" s="1"/>
  <c r="F303" i="1"/>
  <c r="G303" i="1" s="1"/>
  <c r="H303" i="1" s="1"/>
  <c r="I303" i="1" s="1"/>
  <c r="J303" i="1" s="1"/>
  <c r="K303" i="1" s="1"/>
  <c r="F302" i="1"/>
  <c r="G302" i="1" s="1"/>
  <c r="H302" i="1" s="1"/>
  <c r="I302" i="1" s="1"/>
  <c r="J302" i="1" s="1"/>
  <c r="K302" i="1" s="1"/>
  <c r="F301" i="1"/>
  <c r="G301" i="1" s="1"/>
  <c r="H301" i="1" s="1"/>
  <c r="I301" i="1" s="1"/>
  <c r="J301" i="1" s="1"/>
  <c r="K301" i="1" s="1"/>
  <c r="F300" i="1"/>
  <c r="G300" i="1" s="1"/>
  <c r="H300" i="1" s="1"/>
  <c r="I300" i="1" s="1"/>
  <c r="J300" i="1" s="1"/>
  <c r="K300" i="1" s="1"/>
  <c r="F299" i="1"/>
  <c r="G299" i="1" s="1"/>
  <c r="H299" i="1" s="1"/>
  <c r="I299" i="1" s="1"/>
  <c r="J299" i="1" s="1"/>
  <c r="K299" i="1" s="1"/>
  <c r="F298" i="1"/>
  <c r="G298" i="1" s="1"/>
  <c r="H298" i="1" s="1"/>
  <c r="I298" i="1" s="1"/>
  <c r="J298" i="1" s="1"/>
  <c r="K298" i="1" s="1"/>
  <c r="F297" i="1"/>
  <c r="G297" i="1" s="1"/>
  <c r="H297" i="1" s="1"/>
  <c r="I297" i="1" s="1"/>
  <c r="J297" i="1" s="1"/>
  <c r="K297" i="1" s="1"/>
  <c r="F296" i="1"/>
  <c r="G296" i="1" s="1"/>
  <c r="H296" i="1" s="1"/>
  <c r="I296" i="1" s="1"/>
  <c r="J296" i="1" s="1"/>
  <c r="K296" i="1" s="1"/>
  <c r="F295" i="1"/>
  <c r="G295" i="1" s="1"/>
  <c r="H295" i="1" s="1"/>
  <c r="I295" i="1" s="1"/>
  <c r="J295" i="1" s="1"/>
  <c r="K295" i="1" s="1"/>
  <c r="F294" i="1"/>
  <c r="G294" i="1" s="1"/>
  <c r="H294" i="1" s="1"/>
  <c r="I294" i="1" s="1"/>
  <c r="J294" i="1" s="1"/>
  <c r="K294" i="1" s="1"/>
  <c r="F293" i="1"/>
  <c r="G293" i="1" s="1"/>
  <c r="H293" i="1" s="1"/>
  <c r="I293" i="1" s="1"/>
  <c r="J293" i="1" s="1"/>
  <c r="K293" i="1" s="1"/>
  <c r="F292" i="1"/>
  <c r="G292" i="1" s="1"/>
  <c r="H292" i="1" s="1"/>
  <c r="I292" i="1" s="1"/>
  <c r="J292" i="1" s="1"/>
  <c r="K292" i="1" s="1"/>
  <c r="F291" i="1"/>
  <c r="G291" i="1" s="1"/>
  <c r="H291" i="1" s="1"/>
  <c r="I291" i="1" s="1"/>
  <c r="J291" i="1" s="1"/>
  <c r="K291" i="1" s="1"/>
  <c r="F290" i="1"/>
  <c r="G290" i="1" s="1"/>
  <c r="H290" i="1" s="1"/>
  <c r="I290" i="1" s="1"/>
  <c r="J290" i="1" s="1"/>
  <c r="K290" i="1" s="1"/>
  <c r="F289" i="1"/>
  <c r="G289" i="1" s="1"/>
  <c r="H289" i="1" s="1"/>
  <c r="I289" i="1" s="1"/>
  <c r="J289" i="1" s="1"/>
  <c r="K289" i="1" s="1"/>
  <c r="F288" i="1"/>
  <c r="G288" i="1" s="1"/>
  <c r="H288" i="1" s="1"/>
  <c r="I288" i="1" s="1"/>
  <c r="J288" i="1" s="1"/>
  <c r="K288" i="1" s="1"/>
  <c r="F287" i="1"/>
  <c r="G287" i="1" s="1"/>
  <c r="H287" i="1" s="1"/>
  <c r="I287" i="1" s="1"/>
  <c r="J287" i="1" s="1"/>
  <c r="K287" i="1" s="1"/>
  <c r="F286" i="1"/>
  <c r="G286" i="1" s="1"/>
  <c r="H286" i="1" s="1"/>
  <c r="I286" i="1" s="1"/>
  <c r="J286" i="1" s="1"/>
  <c r="K286" i="1" s="1"/>
  <c r="F285" i="1"/>
  <c r="G285" i="1" s="1"/>
  <c r="H285" i="1" s="1"/>
  <c r="I285" i="1" s="1"/>
  <c r="J285" i="1" s="1"/>
  <c r="K285" i="1" s="1"/>
  <c r="F284" i="1"/>
  <c r="G284" i="1" s="1"/>
  <c r="H284" i="1" s="1"/>
  <c r="I284" i="1" s="1"/>
  <c r="J284" i="1" s="1"/>
  <c r="K284" i="1" s="1"/>
  <c r="F283" i="1"/>
  <c r="G283" i="1" s="1"/>
  <c r="H283" i="1" s="1"/>
  <c r="I283" i="1" s="1"/>
  <c r="J283" i="1" s="1"/>
  <c r="K283" i="1" s="1"/>
  <c r="F282" i="1"/>
  <c r="G282" i="1" s="1"/>
  <c r="H282" i="1" s="1"/>
  <c r="I282" i="1" s="1"/>
  <c r="J282" i="1" s="1"/>
  <c r="K282" i="1" s="1"/>
  <c r="F281" i="1"/>
  <c r="G281" i="1" s="1"/>
  <c r="H281" i="1" s="1"/>
  <c r="I281" i="1" s="1"/>
  <c r="J281" i="1" s="1"/>
  <c r="K281" i="1" s="1"/>
  <c r="F280" i="1"/>
  <c r="G280" i="1" s="1"/>
  <c r="H280" i="1" s="1"/>
  <c r="I280" i="1" s="1"/>
  <c r="J280" i="1" s="1"/>
  <c r="K280" i="1" s="1"/>
  <c r="F279" i="1"/>
  <c r="G279" i="1" s="1"/>
  <c r="H279" i="1" s="1"/>
  <c r="I279" i="1" s="1"/>
  <c r="J279" i="1" s="1"/>
  <c r="K279" i="1" s="1"/>
  <c r="F278" i="1"/>
  <c r="G278" i="1" s="1"/>
  <c r="H278" i="1" s="1"/>
  <c r="I278" i="1" s="1"/>
  <c r="J278" i="1" s="1"/>
  <c r="K278" i="1" s="1"/>
  <c r="F277" i="1"/>
  <c r="G277" i="1" s="1"/>
  <c r="H277" i="1" s="1"/>
  <c r="I277" i="1" s="1"/>
  <c r="J277" i="1" s="1"/>
  <c r="K277" i="1" s="1"/>
  <c r="F276" i="1"/>
  <c r="G276" i="1" s="1"/>
  <c r="H276" i="1" s="1"/>
  <c r="I276" i="1" s="1"/>
  <c r="J276" i="1" s="1"/>
  <c r="K276" i="1" s="1"/>
  <c r="F275" i="1"/>
  <c r="G275" i="1" s="1"/>
  <c r="H275" i="1" s="1"/>
  <c r="I275" i="1" s="1"/>
  <c r="J275" i="1" s="1"/>
  <c r="K275" i="1" s="1"/>
  <c r="F274" i="1"/>
  <c r="G274" i="1" s="1"/>
  <c r="H274" i="1" s="1"/>
  <c r="I274" i="1" s="1"/>
  <c r="J274" i="1" s="1"/>
  <c r="K274" i="1" s="1"/>
  <c r="F273" i="1"/>
  <c r="G273" i="1" s="1"/>
  <c r="H273" i="1" s="1"/>
  <c r="I273" i="1" s="1"/>
  <c r="J273" i="1" s="1"/>
  <c r="K273" i="1" s="1"/>
  <c r="F272" i="1"/>
  <c r="G272" i="1" s="1"/>
  <c r="H272" i="1" s="1"/>
  <c r="I272" i="1" s="1"/>
  <c r="J272" i="1" s="1"/>
  <c r="K272" i="1" s="1"/>
  <c r="F271" i="1"/>
  <c r="G271" i="1" s="1"/>
  <c r="H271" i="1" s="1"/>
  <c r="I271" i="1" s="1"/>
  <c r="J271" i="1" s="1"/>
  <c r="K271" i="1" s="1"/>
  <c r="F270" i="1"/>
  <c r="G270" i="1" s="1"/>
  <c r="H270" i="1" s="1"/>
  <c r="I270" i="1" s="1"/>
  <c r="J270" i="1" s="1"/>
  <c r="K270" i="1" s="1"/>
  <c r="F269" i="1"/>
  <c r="G269" i="1" s="1"/>
  <c r="H269" i="1" s="1"/>
  <c r="I269" i="1" s="1"/>
  <c r="J269" i="1" s="1"/>
  <c r="K269" i="1" s="1"/>
  <c r="F268" i="1"/>
  <c r="G268" i="1" s="1"/>
  <c r="H268" i="1" s="1"/>
  <c r="I268" i="1" s="1"/>
  <c r="J268" i="1" s="1"/>
  <c r="K268" i="1" s="1"/>
  <c r="F267" i="1"/>
  <c r="G267" i="1" s="1"/>
  <c r="H267" i="1" s="1"/>
  <c r="I267" i="1" s="1"/>
  <c r="J267" i="1" s="1"/>
  <c r="K267" i="1" s="1"/>
  <c r="F266" i="1"/>
  <c r="G266" i="1" s="1"/>
  <c r="H266" i="1" s="1"/>
  <c r="I266" i="1" s="1"/>
  <c r="J266" i="1" s="1"/>
  <c r="K266" i="1" s="1"/>
  <c r="F265" i="1"/>
  <c r="G265" i="1" s="1"/>
  <c r="H265" i="1" s="1"/>
  <c r="I265" i="1" s="1"/>
  <c r="J265" i="1" s="1"/>
  <c r="K265" i="1" s="1"/>
  <c r="F264" i="1"/>
  <c r="G264" i="1" s="1"/>
  <c r="H264" i="1" s="1"/>
  <c r="I264" i="1" s="1"/>
  <c r="J264" i="1" s="1"/>
  <c r="K264" i="1" s="1"/>
  <c r="F263" i="1"/>
  <c r="G263" i="1" s="1"/>
  <c r="H263" i="1" s="1"/>
  <c r="I263" i="1" s="1"/>
  <c r="J263" i="1" s="1"/>
  <c r="K263" i="1" s="1"/>
  <c r="F262" i="1"/>
  <c r="G262" i="1" s="1"/>
  <c r="H262" i="1" s="1"/>
  <c r="I262" i="1" s="1"/>
  <c r="J262" i="1" s="1"/>
  <c r="K262" i="1" s="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F261" i="1"/>
  <c r="G261" i="1" s="1"/>
  <c r="H261" i="1" s="1"/>
  <c r="I261" i="1" s="1"/>
  <c r="J261" i="1" s="1"/>
  <c r="K261" i="1" s="1"/>
  <c r="D261" i="1"/>
  <c r="E5" i="1" l="1"/>
  <c r="C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Jaffe, Samuel</author>
    <author>Jaffe, Sam</author>
  </authors>
  <commentList>
    <comment ref="B5" authorId="0" shapeId="0" xr:uid="{00000000-0006-0000-0000-000001000000}">
      <text>
        <r>
          <rPr>
            <b/>
            <sz val="11"/>
            <color indexed="10"/>
            <rFont val="Tahoma"/>
            <family val="2"/>
          </rPr>
          <t>Welcome to the LM62460-Q1, LM61480-Q1, LM61495-Q1 Design Tool!</t>
        </r>
        <r>
          <rPr>
            <b/>
            <sz val="9"/>
            <color indexed="81"/>
            <rFont val="Tahoma"/>
            <family val="2"/>
          </rPr>
          <t xml:space="preserve">
</t>
        </r>
        <r>
          <rPr>
            <sz val="9"/>
            <color indexed="81"/>
            <rFont val="Tahoma"/>
            <family val="2"/>
          </rPr>
          <t xml:space="preserve">This stand-alone tool facilitates and assist the power supply engineer with design of an isolated DC/DC regulator based on the </t>
        </r>
        <r>
          <rPr>
            <b/>
            <sz val="9"/>
            <color indexed="81"/>
            <rFont val="Tahoma"/>
            <family val="2"/>
          </rPr>
          <t>LM62460-Q1/LM61480-Q1/LM61495-Q1 buck converter</t>
        </r>
        <r>
          <rPr>
            <sz val="9"/>
            <color indexed="81"/>
            <rFont val="Tahoma"/>
            <family val="2"/>
          </rPr>
          <t>. This tool helps the user arrive at an optimized design using only simple operating conditions as the inputs.
Rev 1.0, Sam Jaffe, Texas Instruments, Inc.</t>
        </r>
      </text>
    </comment>
    <comment ref="W5" authorId="0" shapeId="0" xr:uid="{00000000-0006-0000-0000-000002000000}">
      <text>
        <r>
          <rPr>
            <b/>
            <sz val="9"/>
            <color indexed="81"/>
            <rFont val="Tahoma"/>
            <family val="2"/>
          </rPr>
          <t xml:space="preserve">Texas Instruments:
Limited Use Policy
</t>
        </r>
        <r>
          <rPr>
            <sz val="9"/>
            <color indexed="81"/>
            <rFont val="Tahoma"/>
            <family val="2"/>
          </rPr>
          <t xml:space="preserve">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acecssible via a public network such as the internet
- Sublicense, rent, lease, or lend any portion of the software or documentation.
Texas Instruments is not responsible for the validity of any design created with this design tool and recommends that all designs be fully tested and carefully verified. Refer to the LM62460/LM61480/95[-Q1] product datasheets and EVM users' guides for more details.
</t>
        </r>
        <r>
          <rPr>
            <b/>
            <sz val="9"/>
            <color indexed="81"/>
            <rFont val="Tahoma"/>
            <family val="2"/>
          </rPr>
          <t xml:space="preserve">
Rev 1.0, Sam Jaffe, Texas Instruments, Inc.</t>
        </r>
      </text>
    </comment>
    <comment ref="C15" authorId="0" shapeId="0" xr:uid="{00000000-0006-0000-0000-000003000000}">
      <text>
        <r>
          <rPr>
            <b/>
            <sz val="9"/>
            <color indexed="81"/>
            <rFont val="Tahoma"/>
            <family val="2"/>
          </rPr>
          <t>Choose 400 or 2200 to avoid needing an RT resistor</t>
        </r>
        <r>
          <rPr>
            <sz val="9"/>
            <color indexed="81"/>
            <rFont val="Tahoma"/>
            <family val="2"/>
          </rPr>
          <t xml:space="preserve">
</t>
        </r>
      </text>
    </comment>
    <comment ref="C28" authorId="0" shapeId="0" xr:uid="{00000000-0006-0000-0000-000004000000}">
      <text>
        <r>
          <rPr>
            <sz val="9"/>
            <color indexed="81"/>
            <rFont val="Tahoma"/>
            <family val="2"/>
          </rPr>
          <t>Optional capacitor to reduce VOUT noise. Use a low inductance package (0402 or 0603 ceramic), layout with a small loop area from the inductor, through COUT_HF, to the PGND pins of the IC</t>
        </r>
      </text>
    </comment>
    <comment ref="C29" authorId="1" shapeId="0" xr:uid="{FE20ADB5-5372-47EE-9906-6C8D23F213C3}">
      <text>
        <r>
          <rPr>
            <sz val="9"/>
            <color indexed="81"/>
            <rFont val="Tahoma"/>
            <family val="2"/>
          </rPr>
          <t xml:space="preserve">COUT_BULK will improve load transient performance. Larger ISTEP_MAX will require larger COUT_BULK for consistent VOUT droop/overshoot performance.
</t>
        </r>
      </text>
    </comment>
    <comment ref="C33" authorId="0" shapeId="0" xr:uid="{00000000-0006-0000-0000-000006000000}">
      <text>
        <r>
          <rPr>
            <sz val="9"/>
            <color indexed="81"/>
            <rFont val="Tahoma"/>
            <family val="2"/>
          </rPr>
          <t>Use two 0.47uF capacitors on either side of the device.
Use ceramic 0603 50V X7R capacitors for best results.</t>
        </r>
      </text>
    </comment>
    <comment ref="C34" authorId="0" shapeId="0" xr:uid="{00000000-0006-0000-0000-000007000000}">
      <text>
        <r>
          <rPr>
            <sz val="9"/>
            <color indexed="81"/>
            <rFont val="Tahoma"/>
            <family val="2"/>
          </rPr>
          <t>Use two 10uF capacitors, one on each side of the device.
Use ceramic 50V X7R capacitors for best results.</t>
        </r>
      </text>
    </comment>
    <comment ref="C35" authorId="0" shapeId="0" xr:uid="{00000000-0006-0000-0000-000008000000}">
      <text>
        <r>
          <rPr>
            <sz val="9"/>
            <color indexed="81"/>
            <rFont val="Tahoma"/>
            <family val="2"/>
          </rPr>
          <t>Add an electrolytic capacitor of this (or similar) value to reduce VIN droop during IOUT load step.</t>
        </r>
      </text>
    </comment>
    <comment ref="C43" authorId="0" shapeId="0" xr:uid="{00000000-0006-0000-0000-000009000000}">
      <text>
        <r>
          <rPr>
            <b/>
            <sz val="9"/>
            <color indexed="81"/>
            <rFont val="Tahoma"/>
            <family val="2"/>
          </rPr>
          <t>Short to VCC for 400kHz, short to GND for 2.2MHz. Use RT for value between 200kHz and 2.2MHz</t>
        </r>
        <r>
          <rPr>
            <sz val="9"/>
            <color indexed="81"/>
            <rFont val="Tahoma"/>
            <family val="2"/>
          </rPr>
          <t xml:space="preserve">
</t>
        </r>
      </text>
    </comment>
    <comment ref="C44" authorId="0" shapeId="0" xr:uid="{00000000-0006-0000-0000-00000A000000}">
      <text>
        <r>
          <rPr>
            <sz val="9"/>
            <color indexed="81"/>
            <rFont val="Tahoma"/>
            <family val="2"/>
          </rPr>
          <t>Use 0Ω. Only increase if EMI results need to be improved. Use 300 ohms for 2-3dB improvement 100+Mhz (will cause about 1% reduction in efficiency)</t>
        </r>
      </text>
    </comment>
    <comment ref="C49" authorId="0" shapeId="0" xr:uid="{00000000-0006-0000-0000-00000B000000}">
      <text>
        <r>
          <rPr>
            <sz val="9"/>
            <color indexed="81"/>
            <rFont val="Tahoma"/>
            <family val="2"/>
          </rPr>
          <t>Use resistor to GND to enable spread spectrum with low-frequency ripple cancellation
Short SPSP to VCC to enable spread spectrum without ripple cancellation
Short SPSP to GND to disable spread spectrum</t>
        </r>
      </text>
    </comment>
  </commentList>
</comments>
</file>

<file path=xl/sharedStrings.xml><?xml version="1.0" encoding="utf-8"?>
<sst xmlns="http://schemas.openxmlformats.org/spreadsheetml/2006/main" count="255" uniqueCount="177">
  <si>
    <t>About</t>
  </si>
  <si>
    <t>Terms Of Use</t>
  </si>
  <si>
    <t>Step 1: Operating Specifications</t>
  </si>
  <si>
    <t>V</t>
  </si>
  <si>
    <t>A</t>
  </si>
  <si>
    <t>kHz</t>
  </si>
  <si>
    <t>Step 2: Buck Inductor</t>
  </si>
  <si>
    <r>
      <t>L</t>
    </r>
    <r>
      <rPr>
        <sz val="8"/>
        <color theme="1"/>
        <rFont val="Calibri"/>
        <family val="2"/>
        <scheme val="minor"/>
      </rPr>
      <t>RECOMMENDED</t>
    </r>
  </si>
  <si>
    <t>mΩ</t>
  </si>
  <si>
    <r>
      <t>ΔI</t>
    </r>
    <r>
      <rPr>
        <sz val="8"/>
        <color theme="1"/>
        <rFont val="Calibri"/>
        <family val="2"/>
        <scheme val="minor"/>
      </rPr>
      <t>LPEAK-PEAK</t>
    </r>
  </si>
  <si>
    <t>%</t>
  </si>
  <si>
    <t>Step 3: Output Capacitors</t>
  </si>
  <si>
    <t>μH</t>
  </si>
  <si>
    <t>μF</t>
  </si>
  <si>
    <r>
      <t>V</t>
    </r>
    <r>
      <rPr>
        <b/>
        <sz val="8"/>
        <color theme="1"/>
        <rFont val="Calibri"/>
        <family val="2"/>
        <scheme val="minor"/>
      </rPr>
      <t>IN_MIN</t>
    </r>
  </si>
  <si>
    <r>
      <t>V</t>
    </r>
    <r>
      <rPr>
        <b/>
        <sz val="8"/>
        <color theme="1"/>
        <rFont val="Calibri"/>
        <family val="2"/>
        <scheme val="minor"/>
      </rPr>
      <t>IN_NOM</t>
    </r>
  </si>
  <si>
    <r>
      <t>V</t>
    </r>
    <r>
      <rPr>
        <b/>
        <sz val="8"/>
        <color theme="1"/>
        <rFont val="Calibri"/>
        <family val="2"/>
        <scheme val="minor"/>
      </rPr>
      <t>IN_MAX</t>
    </r>
  </si>
  <si>
    <r>
      <t>V</t>
    </r>
    <r>
      <rPr>
        <b/>
        <sz val="8"/>
        <color theme="1"/>
        <rFont val="Calibri"/>
        <family val="2"/>
        <scheme val="minor"/>
      </rPr>
      <t>OUT</t>
    </r>
  </si>
  <si>
    <r>
      <t>I</t>
    </r>
    <r>
      <rPr>
        <b/>
        <sz val="8"/>
        <color theme="1"/>
        <rFont val="Calibri"/>
        <family val="2"/>
        <scheme val="minor"/>
      </rPr>
      <t>OUT_MAX</t>
    </r>
  </si>
  <si>
    <r>
      <t>F</t>
    </r>
    <r>
      <rPr>
        <b/>
        <sz val="8"/>
        <color theme="1"/>
        <rFont val="Calibri"/>
        <family val="2"/>
        <scheme val="minor"/>
      </rPr>
      <t>SW_SELECTED</t>
    </r>
  </si>
  <si>
    <r>
      <t>L</t>
    </r>
    <r>
      <rPr>
        <b/>
        <sz val="8"/>
        <color theme="1"/>
        <rFont val="Calibri"/>
        <family val="2"/>
        <scheme val="minor"/>
      </rPr>
      <t>CHOSEN</t>
    </r>
  </si>
  <si>
    <r>
      <t>L</t>
    </r>
    <r>
      <rPr>
        <b/>
        <sz val="8"/>
        <color theme="1"/>
        <rFont val="Calibri"/>
        <family val="2"/>
        <scheme val="minor"/>
      </rPr>
      <t>DCR</t>
    </r>
  </si>
  <si>
    <t>Step 4: Input Capacitors</t>
  </si>
  <si>
    <r>
      <t>C</t>
    </r>
    <r>
      <rPr>
        <sz val="8"/>
        <color theme="1"/>
        <rFont val="Calibri"/>
        <family val="2"/>
        <scheme val="minor"/>
      </rPr>
      <t>IN_MIN</t>
    </r>
  </si>
  <si>
    <r>
      <t>C</t>
    </r>
    <r>
      <rPr>
        <b/>
        <sz val="8"/>
        <color theme="1"/>
        <rFont val="Calibri"/>
        <family val="2"/>
        <scheme val="minor"/>
      </rPr>
      <t>OUT_CHOSEN</t>
    </r>
  </si>
  <si>
    <r>
      <t>R</t>
    </r>
    <r>
      <rPr>
        <sz val="8"/>
        <color theme="1"/>
        <rFont val="Calibri"/>
        <family val="2"/>
        <scheme val="minor"/>
      </rPr>
      <t>FB_BOTTOM</t>
    </r>
  </si>
  <si>
    <t>Ω</t>
  </si>
  <si>
    <t>kΩ</t>
  </si>
  <si>
    <t>RBOOT</t>
  </si>
  <si>
    <t>CBOOT</t>
  </si>
  <si>
    <t>CBIAS</t>
  </si>
  <si>
    <t>CVCC</t>
  </si>
  <si>
    <t>RT</t>
  </si>
  <si>
    <r>
      <t>R</t>
    </r>
    <r>
      <rPr>
        <b/>
        <sz val="8"/>
        <color theme="1"/>
        <rFont val="Calibri"/>
        <family val="2"/>
        <scheme val="minor"/>
      </rPr>
      <t>FB_TOP</t>
    </r>
  </si>
  <si>
    <t>Ripple Current</t>
  </si>
  <si>
    <t>Spread Spectrum?</t>
  </si>
  <si>
    <r>
      <t>R</t>
    </r>
    <r>
      <rPr>
        <sz val="8"/>
        <color theme="1"/>
        <rFont val="Calibri"/>
        <family val="2"/>
        <scheme val="minor"/>
      </rPr>
      <t>SPSP</t>
    </r>
  </si>
  <si>
    <t>s</t>
  </si>
  <si>
    <t>H</t>
  </si>
  <si>
    <r>
      <t>A</t>
    </r>
    <r>
      <rPr>
        <sz val="8"/>
        <color theme="1"/>
        <rFont val="Calibri"/>
        <family val="2"/>
        <scheme val="minor"/>
      </rPr>
      <t xml:space="preserve"> PK-PK</t>
    </r>
  </si>
  <si>
    <t>Given</t>
  </si>
  <si>
    <t>VUVLO</t>
  </si>
  <si>
    <t>UVLO threshold</t>
  </si>
  <si>
    <r>
      <t>R</t>
    </r>
    <r>
      <rPr>
        <sz val="8"/>
        <color theme="1"/>
        <rFont val="Calibri"/>
        <family val="2"/>
        <scheme val="minor"/>
      </rPr>
      <t>RESET</t>
    </r>
  </si>
  <si>
    <t>RDSON_HS</t>
  </si>
  <si>
    <t>ohms</t>
  </si>
  <si>
    <t>RDSON_LS</t>
  </si>
  <si>
    <t>PLOSS</t>
  </si>
  <si>
    <t>IDEALDUTYCYCLE</t>
  </si>
  <si>
    <t>POUT</t>
  </si>
  <si>
    <t>PIN</t>
  </si>
  <si>
    <t>EFFICIENCY</t>
  </si>
  <si>
    <t>W</t>
  </si>
  <si>
    <t>TON</t>
  </si>
  <si>
    <t>DUTYCYCLE</t>
  </si>
  <si>
    <t>TOFF</t>
  </si>
  <si>
    <t>LRECOMMENDED</t>
  </si>
  <si>
    <t>High-side FET on-resistance</t>
  </si>
  <si>
    <t>Low-side FET on-resistance</t>
  </si>
  <si>
    <t>LRECOMMENDED_STD</t>
  </si>
  <si>
    <t>See Standard Values Calculator sheet</t>
  </si>
  <si>
    <t>ΔILPEAK-PEAK</t>
  </si>
  <si>
    <t>VREF</t>
  </si>
  <si>
    <t>FB reference voltage</t>
  </si>
  <si>
    <t>FSW_SELECTED</t>
  </si>
  <si>
    <t>Hz</t>
  </si>
  <si>
    <t>Selected switching frequency</t>
  </si>
  <si>
    <t>F</t>
  </si>
  <si>
    <t>%RIPPLE_CURRENT</t>
  </si>
  <si>
    <t>ISTEP_MAX</t>
  </si>
  <si>
    <t>Selected in base units</t>
  </si>
  <si>
    <t>VIN_MIN</t>
  </si>
  <si>
    <t>VIN_NOM</t>
  </si>
  <si>
    <t>VIN_MAX</t>
  </si>
  <si>
    <t>VOUT</t>
  </si>
  <si>
    <t>IOUT_MAX</t>
  </si>
  <si>
    <t>LCHOSEN</t>
  </si>
  <si>
    <t>LDCR</t>
  </si>
  <si>
    <t>COUT_CHOSEN</t>
  </si>
  <si>
    <t>CESR_CHOSEN</t>
  </si>
  <si>
    <t>COUT_MIN_TRANSIENT</t>
  </si>
  <si>
    <t>Necessary output cap to meet droop spec on a transient</t>
  </si>
  <si>
    <t>COUT_MIN_RIPPLE_W/ESR</t>
  </si>
  <si>
    <t>COUT_MIN_RIPPLE_W/OESR</t>
  </si>
  <si>
    <t>COUT for 2% ripple (not considering ESR of COUT)</t>
  </si>
  <si>
    <t>RFBB</t>
  </si>
  <si>
    <t>RFB_TOP</t>
  </si>
  <si>
    <t>RUVLO</t>
  </si>
  <si>
    <t>RUFLO_TOP</t>
  </si>
  <si>
    <t>RUVLO_BOTTOM</t>
  </si>
  <si>
    <t>Data Validation</t>
  </si>
  <si>
    <t>Yes</t>
  </si>
  <si>
    <t>No</t>
  </si>
  <si>
    <t>IOUT_TRIM</t>
  </si>
  <si>
    <t>Part Number</t>
  </si>
  <si>
    <t>LM61480-Q1</t>
  </si>
  <si>
    <t>LM61495-Q1</t>
  </si>
  <si>
    <t>LM62460-Q1</t>
  </si>
  <si>
    <t>6A, 8A, or 10A based on part number selection. Used in spread spectrum resistor calculation</t>
  </si>
  <si>
    <t>ΔILPEAK-PEAK-1%</t>
  </si>
  <si>
    <t>ΔILPEAK-PEAK / 1.01 For RSPSP calc, 1% spread</t>
  </si>
  <si>
    <t>ΔILPEAK-PEAK - ΔILPEAK-PEAK-1%</t>
  </si>
  <si>
    <t>SLOPE_COMP_CHANGE</t>
  </si>
  <si>
    <t>RIP_CHANGE</t>
  </si>
  <si>
    <t>REQ_V2I_OFFSET/BIT</t>
  </si>
  <si>
    <t>REQ_V2I_OFFSET_FOR_SLOPE_COMP/BIT</t>
  </si>
  <si>
    <t>RSPSP</t>
  </si>
  <si>
    <t>SYNC/MODE</t>
  </si>
  <si>
    <t>SYNC</t>
  </si>
  <si>
    <t>FPWM</t>
  </si>
  <si>
    <t>PFM</t>
  </si>
  <si>
    <t>RSPSP calculations</t>
  </si>
  <si>
    <t>COUT_STABILITY_CERAMIC_ONLY</t>
  </si>
  <si>
    <t>COUT_STABILITY_CERAMIC_w/Ecap</t>
  </si>
  <si>
    <t>COUT_STABILITY_ECAP_w/ceramic</t>
  </si>
  <si>
    <t>CIN_MIN</t>
  </si>
  <si>
    <t>2x10uF X7R 50V AEC-Q200 rated</t>
  </si>
  <si>
    <t>2x0.47uF X7R 50V AEC-Q200 rated</t>
  </si>
  <si>
    <t>Min high-frequency ceramic cap for input.</t>
  </si>
  <si>
    <t>Min ceramic cap for input.</t>
  </si>
  <si>
    <r>
      <t>C</t>
    </r>
    <r>
      <rPr>
        <sz val="8"/>
        <color theme="1"/>
        <rFont val="Calibri"/>
        <family val="2"/>
        <scheme val="minor"/>
      </rPr>
      <t>IN_MIN_HF</t>
    </r>
  </si>
  <si>
    <t>CIN_MIN_HF</t>
  </si>
  <si>
    <t>2x0.47</t>
  </si>
  <si>
    <t>2x10</t>
  </si>
  <si>
    <r>
      <t>C</t>
    </r>
    <r>
      <rPr>
        <sz val="8"/>
        <color theme="1"/>
        <rFont val="Calibri"/>
        <family val="2"/>
        <scheme val="minor"/>
      </rPr>
      <t>IN_BULK</t>
    </r>
  </si>
  <si>
    <t>CIN_BULK</t>
  </si>
  <si>
    <t>if ISTEP_MAX &gt;= 3A, add 10uF*ISTEP, else "None"</t>
  </si>
  <si>
    <t>uF</t>
  </si>
  <si>
    <t>Step 5: Feedback, UVLO, RT...</t>
  </si>
  <si>
    <t>COUT_MIN_STABILITY</t>
  </si>
  <si>
    <t>Equation from Marc Davis-Marsh</t>
  </si>
  <si>
    <t>IOUT_MAX_TRIM</t>
  </si>
  <si>
    <t>RT_std_val</t>
  </si>
  <si>
    <t>RFBB_std_val</t>
  </si>
  <si>
    <t>RUVLO_BOTTOM_std_val</t>
  </si>
  <si>
    <t>RSPSP_std_val</t>
  </si>
  <si>
    <t>VIN_Label</t>
  </si>
  <si>
    <t>VOUT_Label</t>
  </si>
  <si>
    <t>IOUT_Label</t>
  </si>
  <si>
    <t>FSW_Label</t>
  </si>
  <si>
    <t>L_Label</t>
  </si>
  <si>
    <t>COUT_HF_Label</t>
  </si>
  <si>
    <t>COUT_Label</t>
  </si>
  <si>
    <t>COUT_BLK_Label</t>
  </si>
  <si>
    <t>CIN_HF_Label</t>
  </si>
  <si>
    <t>CIN_Label</t>
  </si>
  <si>
    <t>CIN_BLK_Label</t>
  </si>
  <si>
    <t>RFBT_Label</t>
  </si>
  <si>
    <t>RFBB_Label</t>
  </si>
  <si>
    <t>RENT_Label</t>
  </si>
  <si>
    <t>RENB_Label</t>
  </si>
  <si>
    <r>
      <t>R</t>
    </r>
    <r>
      <rPr>
        <b/>
        <sz val="8"/>
        <color theme="1"/>
        <rFont val="Calibri"/>
        <family val="2"/>
        <scheme val="minor"/>
      </rPr>
      <t>EN/UVLO_TOP</t>
    </r>
  </si>
  <si>
    <r>
      <t>R</t>
    </r>
    <r>
      <rPr>
        <sz val="8"/>
        <color theme="1"/>
        <rFont val="Calibri"/>
        <family val="2"/>
        <scheme val="minor"/>
      </rPr>
      <t>EN/UVLO_BOTTOM</t>
    </r>
  </si>
  <si>
    <t>RT_Label</t>
  </si>
  <si>
    <t>RBOOT_Label</t>
  </si>
  <si>
    <t>CBOOT_Label</t>
  </si>
  <si>
    <t>CBIAS_Label</t>
  </si>
  <si>
    <t>CVCC_Label</t>
  </si>
  <si>
    <t>SPSP_Label</t>
  </si>
  <si>
    <t>SYNC/MODE_Label</t>
  </si>
  <si>
    <t>RRESET_Label</t>
  </si>
  <si>
    <t>L_Label2</t>
  </si>
  <si>
    <t>RFF_Label</t>
  </si>
  <si>
    <t>CFF_Label</t>
  </si>
  <si>
    <t>REN/UVLO_BOTTOM</t>
  </si>
  <si>
    <t>REN/UVLO_BOTTOM_std_val</t>
  </si>
  <si>
    <t>SYNC/MODE Pin</t>
  </si>
  <si>
    <t>SYNC/MODE Select</t>
  </si>
  <si>
    <t>Labels</t>
  </si>
  <si>
    <t>LM62460-Q1, LM61480-Q1, LM61495-Q1 Buck Converter Design Tool</t>
  </si>
  <si>
    <r>
      <t>C</t>
    </r>
    <r>
      <rPr>
        <sz val="8"/>
        <color theme="1"/>
        <rFont val="Calibri"/>
        <family val="2"/>
        <scheme val="minor"/>
      </rPr>
      <t>OUT_MIN (After Derating)</t>
    </r>
  </si>
  <si>
    <r>
      <t>Optional C</t>
    </r>
    <r>
      <rPr>
        <b/>
        <sz val="8"/>
        <color theme="1"/>
        <rFont val="Calibri"/>
        <family val="2"/>
        <scheme val="minor"/>
      </rPr>
      <t>OUT_BULK</t>
    </r>
  </si>
  <si>
    <r>
      <t>I</t>
    </r>
    <r>
      <rPr>
        <b/>
        <sz val="9"/>
        <rFont val="Calibri"/>
        <family val="2"/>
        <scheme val="minor"/>
      </rPr>
      <t>STEP_MAX</t>
    </r>
  </si>
  <si>
    <r>
      <t>Optional C</t>
    </r>
    <r>
      <rPr>
        <b/>
        <sz val="8"/>
        <color theme="1"/>
        <rFont val="Calibri"/>
        <family val="2"/>
        <scheme val="minor"/>
      </rPr>
      <t>OUT_HF</t>
    </r>
  </si>
  <si>
    <r>
      <t>V</t>
    </r>
    <r>
      <rPr>
        <b/>
        <sz val="8"/>
        <color theme="1"/>
        <rFont val="Calibri"/>
        <family val="2"/>
        <scheme val="minor"/>
      </rPr>
      <t>UVLO</t>
    </r>
  </si>
  <si>
    <r>
      <t>C</t>
    </r>
    <r>
      <rPr>
        <sz val="8"/>
        <color theme="1"/>
        <rFont val="Calibri"/>
        <family val="2"/>
        <scheme val="minor"/>
      </rPr>
      <t>OUT_BULK (suggested)</t>
    </r>
  </si>
  <si>
    <r>
      <t>A</t>
    </r>
    <r>
      <rPr>
        <sz val="8"/>
        <color theme="0"/>
        <rFont val="Calibri"/>
        <family val="2"/>
        <scheme val="minor"/>
      </rPr>
      <t xml:space="preserve"> PK-PK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</si>
</sst>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E+0"/>
    <numFmt numFmtId="167" formatCode="0.000000"/>
  </numFmts>
  <fonts count="23" x14ac:knownFonts="1">
    <font>
      <sz val="11"/>
      <color theme="1"/>
      <name val="Calibri"/>
      <family val="2"/>
      <scheme val="minor"/>
    </font>
    <font>
      <b/>
      <sz val="11"/>
      <color theme="1"/>
      <name val="Calibri"/>
      <family val="2"/>
      <scheme val="minor"/>
    </font>
    <font>
      <b/>
      <sz val="11"/>
      <color theme="0"/>
      <name val="Calibri"/>
      <family val="2"/>
      <scheme val="minor"/>
    </font>
    <font>
      <b/>
      <sz val="22"/>
      <color theme="0"/>
      <name val="Calibri"/>
      <family val="2"/>
      <scheme val="minor"/>
    </font>
    <font>
      <sz val="10"/>
      <color theme="1"/>
      <name val="Calibri"/>
      <family val="2"/>
      <scheme val="minor"/>
    </font>
    <font>
      <b/>
      <sz val="10"/>
      <color theme="0"/>
      <name val="Calibri"/>
      <family val="2"/>
      <scheme val="minor"/>
    </font>
    <font>
      <sz val="9"/>
      <color indexed="81"/>
      <name val="Tahoma"/>
      <family val="2"/>
    </font>
    <font>
      <b/>
      <sz val="9"/>
      <color indexed="81"/>
      <name val="Tahoma"/>
      <family val="2"/>
    </font>
    <font>
      <b/>
      <sz val="11"/>
      <color indexed="10"/>
      <name val="Tahoma"/>
      <family val="2"/>
    </font>
    <font>
      <sz val="11"/>
      <color theme="1"/>
      <name val="Calibri"/>
      <family val="2"/>
      <scheme val="minor"/>
    </font>
    <font>
      <sz val="8"/>
      <color theme="1"/>
      <name val="Calibri"/>
      <family val="2"/>
      <scheme val="minor"/>
    </font>
    <font>
      <b/>
      <sz val="11"/>
      <color rgb="FF0000FF"/>
      <name val="Calibri"/>
      <family val="2"/>
      <scheme val="minor"/>
    </font>
    <font>
      <b/>
      <sz val="8"/>
      <color theme="1"/>
      <name val="Calibri"/>
      <family val="2"/>
      <scheme val="minor"/>
    </font>
    <font>
      <sz val="11"/>
      <color rgb="FF1F497D"/>
      <name val="Calibri"/>
      <family val="2"/>
      <scheme val="minor"/>
    </font>
    <font>
      <sz val="11"/>
      <name val="Calibri"/>
      <family val="2"/>
      <scheme val="minor"/>
    </font>
    <font>
      <u/>
      <sz val="11"/>
      <color theme="10"/>
      <name val="Calibri"/>
      <family val="2"/>
      <scheme val="minor"/>
    </font>
    <font>
      <sz val="11"/>
      <color theme="0"/>
      <name val="Calibri"/>
      <family val="2"/>
      <scheme val="minor"/>
    </font>
    <font>
      <b/>
      <sz val="22"/>
      <color theme="1"/>
      <name val="Calibri"/>
      <family val="2"/>
      <scheme val="minor"/>
    </font>
    <font>
      <b/>
      <sz val="10"/>
      <color theme="1"/>
      <name val="Calibri"/>
      <family val="2"/>
      <scheme val="minor"/>
    </font>
    <font>
      <b/>
      <sz val="11"/>
      <name val="Calibri"/>
      <family val="2"/>
      <scheme val="minor"/>
    </font>
    <font>
      <b/>
      <sz val="9"/>
      <name val="Calibri"/>
      <family val="2"/>
      <scheme val="minor"/>
    </font>
    <font>
      <sz val="8"/>
      <color theme="0"/>
      <name val="Calibri"/>
      <family val="2"/>
      <scheme val="minor"/>
    </font>
    <font>
      <u/>
      <sz val="11"/>
      <color theme="0"/>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0" tint="-0.49998474074526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9" fillId="0" borderId="0" applyFont="0" applyFill="0" applyBorder="0" applyAlignment="0" applyProtection="0"/>
    <xf numFmtId="0" fontId="15" fillId="0" borderId="0" applyNumberFormat="0" applyFill="0" applyBorder="0" applyAlignment="0" applyProtection="0"/>
  </cellStyleXfs>
  <cellXfs count="72">
    <xf numFmtId="0" fontId="0" fillId="0" borderId="0" xfId="0"/>
    <xf numFmtId="0" fontId="0" fillId="6" borderId="0" xfId="0" applyFill="1"/>
    <xf numFmtId="0" fontId="0" fillId="6" borderId="7" xfId="0" applyFill="1" applyBorder="1"/>
    <xf numFmtId="0" fontId="0" fillId="0" borderId="0" xfId="0" applyAlignment="1">
      <alignment horizontal="center"/>
    </xf>
    <xf numFmtId="0" fontId="0" fillId="2" borderId="0" xfId="0" applyFill="1" applyProtection="1">
      <protection hidden="1"/>
    </xf>
    <xf numFmtId="0" fontId="4" fillId="2" borderId="0" xfId="0" applyFont="1" applyFill="1" applyProtection="1">
      <protection hidden="1"/>
    </xf>
    <xf numFmtId="0" fontId="5" fillId="2" borderId="0" xfId="0" applyFont="1" applyFill="1" applyAlignment="1" applyProtection="1">
      <alignment vertical="center"/>
      <protection hidden="1"/>
    </xf>
    <xf numFmtId="0" fontId="0" fillId="6" borderId="0" xfId="0" applyFill="1" applyProtection="1">
      <protection hidden="1"/>
    </xf>
    <xf numFmtId="0" fontId="0" fillId="4" borderId="0" xfId="0" applyFill="1" applyProtection="1">
      <protection hidden="1"/>
    </xf>
    <xf numFmtId="0" fontId="2" fillId="4" borderId="0" xfId="0" applyFont="1" applyFill="1" applyProtection="1">
      <protection hidden="1"/>
    </xf>
    <xf numFmtId="0" fontId="0" fillId="5" borderId="0" xfId="0" applyFill="1" applyProtection="1">
      <protection hidden="1"/>
    </xf>
    <xf numFmtId="0" fontId="16" fillId="6" borderId="0" xfId="0" applyFont="1" applyFill="1" applyProtection="1">
      <protection hidden="1"/>
    </xf>
    <xf numFmtId="0" fontId="11" fillId="6" borderId="5" xfId="0" applyFont="1" applyFill="1" applyBorder="1" applyAlignment="1" applyProtection="1">
      <alignment horizontal="center"/>
      <protection hidden="1"/>
    </xf>
    <xf numFmtId="0" fontId="0" fillId="6" borderId="5" xfId="0" applyFill="1" applyBorder="1" applyProtection="1">
      <protection hidden="1"/>
    </xf>
    <xf numFmtId="165" fontId="0" fillId="6" borderId="0" xfId="1" applyNumberFormat="1" applyFont="1" applyFill="1" applyProtection="1">
      <protection hidden="1"/>
    </xf>
    <xf numFmtId="9" fontId="0" fillId="6" borderId="0" xfId="1" applyFont="1" applyFill="1" applyProtection="1">
      <protection hidden="1"/>
    </xf>
    <xf numFmtId="0" fontId="13" fillId="0" borderId="0" xfId="0" applyFont="1" applyProtection="1">
      <protection hidden="1"/>
    </xf>
    <xf numFmtId="0" fontId="0" fillId="6" borderId="8" xfId="0" applyFill="1" applyBorder="1" applyProtection="1">
      <protection hidden="1"/>
    </xf>
    <xf numFmtId="0" fontId="14" fillId="6" borderId="3" xfId="0" applyFont="1" applyFill="1" applyBorder="1" applyAlignment="1" applyProtection="1">
      <alignment horizontal="left"/>
      <protection hidden="1"/>
    </xf>
    <xf numFmtId="0" fontId="14" fillId="6" borderId="5" xfId="0" applyFont="1" applyFill="1" applyBorder="1" applyAlignment="1" applyProtection="1">
      <alignment horizontal="left"/>
      <protection hidden="1"/>
    </xf>
    <xf numFmtId="0" fontId="0" fillId="6" borderId="3" xfId="0" applyFill="1" applyBorder="1" applyProtection="1">
      <protection hidden="1"/>
    </xf>
    <xf numFmtId="0" fontId="0" fillId="6" borderId="17" xfId="0" applyFill="1" applyBorder="1" applyProtection="1">
      <protection hidden="1"/>
    </xf>
    <xf numFmtId="0" fontId="0" fillId="6" borderId="14" xfId="0" applyFill="1" applyBorder="1" applyProtection="1">
      <protection hidden="1"/>
    </xf>
    <xf numFmtId="0" fontId="0" fillId="6" borderId="20" xfId="0" applyFill="1" applyBorder="1" applyProtection="1">
      <protection hidden="1"/>
    </xf>
    <xf numFmtId="0" fontId="0" fillId="3" borderId="0" xfId="0" applyFill="1" applyProtection="1">
      <protection hidden="1"/>
    </xf>
    <xf numFmtId="0" fontId="2" fillId="4" borderId="0" xfId="0" applyFont="1" applyFill="1" applyAlignment="1" applyProtection="1">
      <alignment horizontal="right"/>
      <protection hidden="1"/>
    </xf>
    <xf numFmtId="0" fontId="17" fillId="2" borderId="0" xfId="0" applyFont="1" applyFill="1" applyAlignment="1" applyProtection="1">
      <alignment vertical="center"/>
      <protection hidden="1"/>
    </xf>
    <xf numFmtId="0" fontId="18" fillId="2" borderId="0" xfId="0" applyFont="1" applyFill="1" applyAlignment="1" applyProtection="1">
      <alignment vertical="center"/>
      <protection hidden="1"/>
    </xf>
    <xf numFmtId="0" fontId="1" fillId="6" borderId="4" xfId="0" applyFont="1" applyFill="1" applyBorder="1" applyAlignment="1" applyProtection="1">
      <alignment horizontal="center"/>
      <protection hidden="1"/>
    </xf>
    <xf numFmtId="0" fontId="0" fillId="5" borderId="0" xfId="0" applyFill="1" applyAlignment="1" applyProtection="1">
      <alignment horizontal="center"/>
      <protection locked="0"/>
    </xf>
    <xf numFmtId="0" fontId="1" fillId="6" borderId="6" xfId="0" applyFont="1" applyFill="1" applyBorder="1" applyAlignment="1" applyProtection="1">
      <alignment horizontal="center"/>
      <protection hidden="1"/>
    </xf>
    <xf numFmtId="0" fontId="0" fillId="5" borderId="7" xfId="0" applyFill="1" applyBorder="1" applyAlignment="1" applyProtection="1">
      <alignment horizontal="center"/>
      <protection locked="0"/>
    </xf>
    <xf numFmtId="0" fontId="0" fillId="6" borderId="4" xfId="0" applyFill="1" applyBorder="1" applyAlignment="1" applyProtection="1">
      <alignment horizontal="center"/>
      <protection hidden="1"/>
    </xf>
    <xf numFmtId="2" fontId="0" fillId="7" borderId="0" xfId="0" applyNumberFormat="1" applyFill="1" applyAlignment="1" applyProtection="1">
      <alignment horizontal="center"/>
      <protection hidden="1"/>
    </xf>
    <xf numFmtId="0" fontId="0" fillId="6" borderId="6" xfId="0" applyFill="1" applyBorder="1" applyAlignment="1" applyProtection="1">
      <alignment horizontal="center"/>
      <protection hidden="1"/>
    </xf>
    <xf numFmtId="1" fontId="0" fillId="7" borderId="7" xfId="1" applyNumberFormat="1" applyFont="1" applyFill="1" applyBorder="1" applyAlignment="1" applyProtection="1">
      <alignment horizontal="center"/>
      <protection hidden="1"/>
    </xf>
    <xf numFmtId="0" fontId="19" fillId="6" borderId="1" xfId="0" applyFont="1" applyFill="1" applyBorder="1" applyAlignment="1" applyProtection="1">
      <alignment horizontal="center"/>
      <protection hidden="1"/>
    </xf>
    <xf numFmtId="0" fontId="0" fillId="5" borderId="2" xfId="0" applyFill="1" applyBorder="1" applyAlignment="1" applyProtection="1">
      <alignment horizontal="center"/>
      <protection locked="0"/>
    </xf>
    <xf numFmtId="1" fontId="0" fillId="7" borderId="0" xfId="0" applyNumberFormat="1" applyFill="1" applyAlignment="1" applyProtection="1">
      <alignment horizontal="center"/>
      <protection hidden="1"/>
    </xf>
    <xf numFmtId="0" fontId="0" fillId="6" borderId="1" xfId="0" applyFill="1" applyBorder="1" applyAlignment="1" applyProtection="1">
      <alignment horizontal="center"/>
      <protection hidden="1"/>
    </xf>
    <xf numFmtId="0" fontId="0" fillId="7" borderId="2" xfId="0" applyFill="1" applyBorder="1" applyAlignment="1" applyProtection="1">
      <alignment horizontal="center"/>
      <protection hidden="1"/>
    </xf>
    <xf numFmtId="0" fontId="0" fillId="7" borderId="0" xfId="0" applyFill="1" applyAlignment="1" applyProtection="1">
      <alignment horizontal="center"/>
      <protection hidden="1"/>
    </xf>
    <xf numFmtId="0" fontId="0" fillId="7" borderId="7" xfId="0" applyFill="1" applyBorder="1" applyAlignment="1" applyProtection="1">
      <alignment horizontal="center"/>
      <protection hidden="1"/>
    </xf>
    <xf numFmtId="0" fontId="1" fillId="6" borderId="1" xfId="0" applyFont="1" applyFill="1" applyBorder="1" applyAlignment="1" applyProtection="1">
      <alignment horizontal="center"/>
      <protection hidden="1"/>
    </xf>
    <xf numFmtId="164" fontId="0" fillId="7" borderId="0" xfId="0" applyNumberFormat="1" applyFill="1" applyAlignment="1" applyProtection="1">
      <alignment horizontal="center"/>
      <protection hidden="1"/>
    </xf>
    <xf numFmtId="0" fontId="0" fillId="6" borderId="16" xfId="0" applyFill="1" applyBorder="1" applyAlignment="1" applyProtection="1">
      <alignment horizontal="center"/>
      <protection hidden="1"/>
    </xf>
    <xf numFmtId="2" fontId="0" fillId="7" borderId="15" xfId="0" applyNumberFormat="1" applyFill="1" applyBorder="1" applyAlignment="1" applyProtection="1">
      <alignment horizontal="center"/>
      <protection hidden="1"/>
    </xf>
    <xf numFmtId="0" fontId="0" fillId="6" borderId="13" xfId="0" applyFill="1" applyBorder="1" applyAlignment="1" applyProtection="1">
      <alignment horizontal="center"/>
      <protection hidden="1"/>
    </xf>
    <xf numFmtId="0" fontId="0" fillId="7" borderId="12" xfId="0" applyFill="1" applyBorder="1" applyAlignment="1" applyProtection="1">
      <alignment horizontal="center"/>
      <protection hidden="1"/>
    </xf>
    <xf numFmtId="0" fontId="1" fillId="6" borderId="13" xfId="0" applyFont="1" applyFill="1" applyBorder="1" applyAlignment="1" applyProtection="1">
      <alignment horizontal="center"/>
      <protection hidden="1"/>
    </xf>
    <xf numFmtId="0" fontId="0" fillId="5" borderId="12" xfId="0" applyFill="1" applyBorder="1" applyAlignment="1" applyProtection="1">
      <alignment horizontal="center"/>
      <protection locked="0"/>
    </xf>
    <xf numFmtId="0" fontId="0" fillId="6" borderId="18" xfId="0" applyFill="1" applyBorder="1" applyAlignment="1" applyProtection="1">
      <alignment horizontal="center"/>
      <protection hidden="1"/>
    </xf>
    <xf numFmtId="0" fontId="0" fillId="7" borderId="19" xfId="0" applyFill="1" applyBorder="1" applyAlignment="1" applyProtection="1">
      <alignment horizontal="center"/>
      <protection hidden="1"/>
    </xf>
    <xf numFmtId="0" fontId="17" fillId="2" borderId="0" xfId="0" applyFont="1" applyFill="1" applyAlignment="1" applyProtection="1">
      <alignment horizontal="center" vertical="center"/>
      <protection hidden="1"/>
    </xf>
    <xf numFmtId="0" fontId="1" fillId="6" borderId="0" xfId="0" applyFont="1" applyFill="1" applyAlignment="1" applyProtection="1">
      <alignment horizontal="right"/>
      <protection hidden="1"/>
    </xf>
    <xf numFmtId="9" fontId="16" fillId="6" borderId="0" xfId="1" applyFont="1" applyFill="1" applyBorder="1" applyProtection="1">
      <protection hidden="1"/>
    </xf>
    <xf numFmtId="2" fontId="16" fillId="6" borderId="0" xfId="0" applyNumberFormat="1" applyFont="1" applyFill="1" applyProtection="1">
      <protection hidden="1"/>
    </xf>
    <xf numFmtId="48" fontId="16" fillId="6" borderId="0" xfId="0" applyNumberFormat="1" applyFont="1" applyFill="1" applyAlignment="1" applyProtection="1">
      <alignment horizontal="right"/>
      <protection hidden="1"/>
    </xf>
    <xf numFmtId="166" fontId="16" fillId="6" borderId="0" xfId="0" applyNumberFormat="1" applyFont="1" applyFill="1" applyProtection="1">
      <protection hidden="1"/>
    </xf>
    <xf numFmtId="1" fontId="16" fillId="6" borderId="0" xfId="0" applyNumberFormat="1" applyFont="1" applyFill="1" applyProtection="1">
      <protection hidden="1"/>
    </xf>
    <xf numFmtId="0" fontId="22" fillId="6" borderId="0" xfId="2" applyFont="1" applyFill="1" applyBorder="1" applyProtection="1">
      <protection hidden="1"/>
    </xf>
    <xf numFmtId="164" fontId="16" fillId="6" borderId="0" xfId="0" applyNumberFormat="1" applyFont="1" applyFill="1" applyProtection="1">
      <protection hidden="1"/>
    </xf>
    <xf numFmtId="167" fontId="16" fillId="6" borderId="0" xfId="0" applyNumberFormat="1" applyFont="1" applyFill="1" applyProtection="1">
      <protection hidden="1"/>
    </xf>
    <xf numFmtId="11" fontId="16" fillId="6" borderId="0" xfId="0" applyNumberFormat="1" applyFont="1" applyFill="1" applyProtection="1">
      <protection hidden="1"/>
    </xf>
    <xf numFmtId="0" fontId="2" fillId="6" borderId="0" xfId="0" applyFont="1" applyFill="1" applyProtection="1">
      <protection hidden="1"/>
    </xf>
    <xf numFmtId="0" fontId="3" fillId="2" borderId="0" xfId="0" applyFont="1" applyFill="1" applyAlignment="1" applyProtection="1">
      <alignment horizontal="center" vertical="center"/>
      <protection hidden="1"/>
    </xf>
    <xf numFmtId="0" fontId="16" fillId="6" borderId="0" xfId="0" applyFont="1" applyFill="1" applyAlignment="1" applyProtection="1">
      <alignment horizontal="center" vertical="center" textRotation="90"/>
      <protection hidden="1"/>
    </xf>
    <xf numFmtId="0" fontId="16" fillId="6" borderId="0" xfId="0" applyFont="1" applyFill="1" applyAlignment="1" applyProtection="1">
      <alignment horizontal="center"/>
      <protection hidden="1"/>
    </xf>
    <xf numFmtId="0" fontId="11" fillId="6" borderId="9" xfId="0" applyFont="1" applyFill="1" applyBorder="1" applyAlignment="1" applyProtection="1">
      <alignment horizontal="center"/>
      <protection hidden="1"/>
    </xf>
    <xf numFmtId="0" fontId="11" fillId="6" borderId="10" xfId="0" applyFont="1" applyFill="1" applyBorder="1" applyAlignment="1" applyProtection="1">
      <alignment horizontal="center"/>
      <protection hidden="1"/>
    </xf>
    <xf numFmtId="0" fontId="11" fillId="6" borderId="11" xfId="0" applyFont="1" applyFill="1" applyBorder="1" applyAlignment="1" applyProtection="1">
      <alignment horizontal="center"/>
      <protection hidden="1"/>
    </xf>
    <xf numFmtId="0" fontId="0" fillId="6" borderId="0" xfId="0" applyFill="1" applyAlignment="1" applyProtection="1">
      <alignment horizontal="center" textRotation="90"/>
      <protection hidden="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337457</xdr:colOff>
      <xdr:row>7</xdr:row>
      <xdr:rowOff>185057</xdr:rowOff>
    </xdr:from>
    <xdr:to>
      <xdr:col>13</xdr:col>
      <xdr:colOff>2873742</xdr:colOff>
      <xdr:row>26</xdr:row>
      <xdr:rowOff>20431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3143410" y="1359433"/>
          <a:ext cx="11571364" cy="3266392"/>
        </a:xfrm>
        <a:prstGeom prst="rect">
          <a:avLst/>
        </a:prstGeom>
      </xdr:spPr>
    </xdr:pic>
    <xdr:clientData/>
  </xdr:twoCellAnchor>
  <xdr:twoCellAnchor editAs="oneCell">
    <xdr:from>
      <xdr:col>0</xdr:col>
      <xdr:colOff>30482</xdr:colOff>
      <xdr:row>0</xdr:row>
      <xdr:rowOff>30480</xdr:rowOff>
    </xdr:from>
    <xdr:to>
      <xdr:col>1</xdr:col>
      <xdr:colOff>1314836</xdr:colOff>
      <xdr:row>3</xdr:row>
      <xdr:rowOff>15240</xdr:rowOff>
    </xdr:to>
    <xdr:pic>
      <xdr:nvPicPr>
        <xdr:cNvPr id="2" name="Picture 1" descr="Image result for texas instruments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2" y="30480"/>
          <a:ext cx="141255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43540</xdr:colOff>
      <xdr:row>8</xdr:row>
      <xdr:rowOff>22898</xdr:rowOff>
    </xdr:from>
    <xdr:ext cx="1023258" cy="264560"/>
    <xdr:sp macro="" textlink="$Q$89">
      <xdr:nvSpPr>
        <xdr:cNvPr id="3" name="TextBox 2">
          <a:extLst>
            <a:ext uri="{FF2B5EF4-FFF2-40B4-BE49-F238E27FC236}">
              <a16:creationId xmlns:a16="http://schemas.microsoft.com/office/drawing/2014/main" id="{00000000-0008-0000-0000-000003000000}"/>
            </a:ext>
          </a:extLst>
        </xdr:cNvPr>
        <xdr:cNvSpPr txBox="1"/>
      </xdr:nvSpPr>
      <xdr:spPr>
        <a:xfrm>
          <a:off x="3483426" y="1427155"/>
          <a:ext cx="1023258"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0DFE1C4D-24F8-4780-B106-C34019E53DCE}" type="TxLink">
            <a:rPr lang="en-US" sz="1100" b="1" i="0" u="none" strike="noStrike">
              <a:solidFill>
                <a:srgbClr val="000000"/>
              </a:solidFill>
              <a:latin typeface="Calibri"/>
              <a:cs typeface="Calibri"/>
            </a:rPr>
            <a:pPr algn="ctr"/>
            <a:t>VIN = 22V</a:t>
          </a:fld>
          <a:endParaRPr lang="en-US" sz="1100" b="1">
            <a:solidFill>
              <a:sysClr val="windowText" lastClr="000000"/>
            </a:solidFill>
          </a:endParaRPr>
        </a:p>
      </xdr:txBody>
    </xdr:sp>
    <xdr:clientData/>
  </xdr:oneCellAnchor>
  <xdr:oneCellAnchor>
    <xdr:from>
      <xdr:col>13</xdr:col>
      <xdr:colOff>1485776</xdr:colOff>
      <xdr:row>8</xdr:row>
      <xdr:rowOff>111488</xdr:rowOff>
    </xdr:from>
    <xdr:ext cx="968829" cy="264560"/>
    <xdr:sp macro="" textlink="$Q$90">
      <xdr:nvSpPr>
        <xdr:cNvPr id="5" name="TextBox 4">
          <a:extLst>
            <a:ext uri="{FF2B5EF4-FFF2-40B4-BE49-F238E27FC236}">
              <a16:creationId xmlns:a16="http://schemas.microsoft.com/office/drawing/2014/main" id="{00000000-0008-0000-0000-000005000000}"/>
            </a:ext>
          </a:extLst>
        </xdr:cNvPr>
        <xdr:cNvSpPr txBox="1"/>
      </xdr:nvSpPr>
      <xdr:spPr>
        <a:xfrm>
          <a:off x="13319188" y="1474123"/>
          <a:ext cx="968829"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CDD13596-C8BF-43D1-ABCA-4AD62E04789F}" type="TxLink">
            <a:rPr lang="en-US" sz="1100" b="1" i="0" u="none" strike="noStrike">
              <a:solidFill>
                <a:srgbClr val="000000"/>
              </a:solidFill>
              <a:latin typeface="Calibri"/>
              <a:cs typeface="Calibri"/>
            </a:rPr>
            <a:pPr algn="l"/>
            <a:t>VOUT = 16V</a:t>
          </a:fld>
          <a:endParaRPr lang="en-US" sz="1100" b="1">
            <a:solidFill>
              <a:sysClr val="windowText" lastClr="000000"/>
            </a:solidFill>
          </a:endParaRPr>
        </a:p>
      </xdr:txBody>
    </xdr:sp>
    <xdr:clientData/>
  </xdr:oneCellAnchor>
  <xdr:oneCellAnchor>
    <xdr:from>
      <xdr:col>13</xdr:col>
      <xdr:colOff>1488915</xdr:colOff>
      <xdr:row>9</xdr:row>
      <xdr:rowOff>84835</xdr:rowOff>
    </xdr:from>
    <xdr:ext cx="968829" cy="264560"/>
    <xdr:sp macro="" textlink="$Q$91">
      <xdr:nvSpPr>
        <xdr:cNvPr id="6" name="TextBox 5">
          <a:extLst>
            <a:ext uri="{FF2B5EF4-FFF2-40B4-BE49-F238E27FC236}">
              <a16:creationId xmlns:a16="http://schemas.microsoft.com/office/drawing/2014/main" id="{00000000-0008-0000-0000-000006000000}"/>
            </a:ext>
          </a:extLst>
        </xdr:cNvPr>
        <xdr:cNvSpPr txBox="1"/>
      </xdr:nvSpPr>
      <xdr:spPr>
        <a:xfrm>
          <a:off x="13322327" y="1626764"/>
          <a:ext cx="968829"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6DD72D4C-D6AA-4F3F-8F76-2D05D0C0472C}" type="TxLink">
            <a:rPr lang="en-US" sz="1100" b="1" i="0" u="none" strike="noStrike">
              <a:solidFill>
                <a:srgbClr val="000000"/>
              </a:solidFill>
              <a:latin typeface="Calibri"/>
              <a:cs typeface="Calibri"/>
            </a:rPr>
            <a:pPr algn="l"/>
            <a:t>IOUT = 10A</a:t>
          </a:fld>
          <a:endParaRPr lang="en-US" sz="1100" b="1">
            <a:solidFill>
              <a:sysClr val="windowText" lastClr="000000"/>
            </a:solidFill>
          </a:endParaRPr>
        </a:p>
      </xdr:txBody>
    </xdr:sp>
    <xdr:clientData/>
  </xdr:oneCellAnchor>
  <xdr:oneCellAnchor>
    <xdr:from>
      <xdr:col>8</xdr:col>
      <xdr:colOff>201063</xdr:colOff>
      <xdr:row>21</xdr:row>
      <xdr:rowOff>86443</xdr:rowOff>
    </xdr:from>
    <xdr:ext cx="1110343" cy="264560"/>
    <xdr:sp macro="" textlink="$Q$92">
      <xdr:nvSpPr>
        <xdr:cNvPr id="7" name="TextBox 6">
          <a:extLst>
            <a:ext uri="{FF2B5EF4-FFF2-40B4-BE49-F238E27FC236}">
              <a16:creationId xmlns:a16="http://schemas.microsoft.com/office/drawing/2014/main" id="{00000000-0008-0000-0000-000007000000}"/>
            </a:ext>
          </a:extLst>
        </xdr:cNvPr>
        <xdr:cNvSpPr txBox="1"/>
      </xdr:nvSpPr>
      <xdr:spPr>
        <a:xfrm>
          <a:off x="5445416" y="3806796"/>
          <a:ext cx="1110343"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06A3514A-EEA7-435B-A084-D883A4D866E1}" type="TxLink">
            <a:rPr lang="en-US" sz="1100" b="1" i="0" u="none" strike="noStrike">
              <a:solidFill>
                <a:srgbClr val="000000"/>
              </a:solidFill>
              <a:latin typeface="Calibri"/>
              <a:cs typeface="Calibri"/>
            </a:rPr>
            <a:pPr algn="ctr"/>
            <a:t>FSW = 400kHz</a:t>
          </a:fld>
          <a:endParaRPr lang="en-US" sz="1100" b="1">
            <a:solidFill>
              <a:sysClr val="windowText" lastClr="000000"/>
            </a:solidFill>
          </a:endParaRPr>
        </a:p>
      </xdr:txBody>
    </xdr:sp>
    <xdr:clientData/>
  </xdr:oneCellAnchor>
  <xdr:oneCellAnchor>
    <xdr:from>
      <xdr:col>10</xdr:col>
      <xdr:colOff>489852</xdr:colOff>
      <xdr:row>23</xdr:row>
      <xdr:rowOff>152398</xdr:rowOff>
    </xdr:from>
    <xdr:ext cx="1110343" cy="264560"/>
    <xdr:sp macro="" textlink="$C$9">
      <xdr:nvSpPr>
        <xdr:cNvPr id="8" name="TextBox 7">
          <a:extLst>
            <a:ext uri="{FF2B5EF4-FFF2-40B4-BE49-F238E27FC236}">
              <a16:creationId xmlns:a16="http://schemas.microsoft.com/office/drawing/2014/main" id="{00000000-0008-0000-0000-000008000000}"/>
            </a:ext>
          </a:extLst>
        </xdr:cNvPr>
        <xdr:cNvSpPr txBox="1"/>
      </xdr:nvSpPr>
      <xdr:spPr>
        <a:xfrm>
          <a:off x="6977738" y="4386941"/>
          <a:ext cx="1110343"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F79EAB7E-BF1B-4A48-A899-A8DA5E0A8D89}" type="TxLink">
            <a:rPr lang="en-US" sz="1100" b="0" i="0" u="none" strike="noStrike">
              <a:solidFill>
                <a:srgbClr val="000000"/>
              </a:solidFill>
              <a:latin typeface="Calibri"/>
              <a:cs typeface="Calibri"/>
            </a:rPr>
            <a:pPr algn="ctr"/>
            <a:t>LM61495-Q1</a:t>
          </a:fld>
          <a:endParaRPr lang="en-US" sz="1100" b="1">
            <a:solidFill>
              <a:sysClr val="windowText" lastClr="000000"/>
            </a:solidFill>
          </a:endParaRPr>
        </a:p>
      </xdr:txBody>
    </xdr:sp>
    <xdr:clientData/>
  </xdr:oneCellAnchor>
  <xdr:oneCellAnchor>
    <xdr:from>
      <xdr:col>12</xdr:col>
      <xdr:colOff>1531812</xdr:colOff>
      <xdr:row>9</xdr:row>
      <xdr:rowOff>94772</xdr:rowOff>
    </xdr:from>
    <xdr:ext cx="882832" cy="264560"/>
    <xdr:sp macro="" textlink="$Q$93">
      <xdr:nvSpPr>
        <xdr:cNvPr id="9" name="TextBox 8">
          <a:extLst>
            <a:ext uri="{FF2B5EF4-FFF2-40B4-BE49-F238E27FC236}">
              <a16:creationId xmlns:a16="http://schemas.microsoft.com/office/drawing/2014/main" id="{00000000-0008-0000-0000-000009000000}"/>
            </a:ext>
          </a:extLst>
        </xdr:cNvPr>
        <xdr:cNvSpPr txBox="1"/>
      </xdr:nvSpPr>
      <xdr:spPr>
        <a:xfrm>
          <a:off x="9447647" y="1636701"/>
          <a:ext cx="882832"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288132F4-A7B7-41E9-8910-C6EEAE514D9C}" type="TxLink">
            <a:rPr lang="en-US" sz="1100" b="0" i="0" u="none" strike="noStrike">
              <a:solidFill>
                <a:srgbClr val="000000"/>
              </a:solidFill>
              <a:latin typeface="Calibri"/>
              <a:cs typeface="Calibri"/>
            </a:rPr>
            <a:pPr algn="ctr"/>
            <a:t>L</a:t>
          </a:fld>
          <a:endParaRPr lang="en-US" sz="1100" b="1">
            <a:solidFill>
              <a:sysClr val="windowText" lastClr="000000"/>
            </a:solidFill>
          </a:endParaRPr>
        </a:p>
      </xdr:txBody>
    </xdr:sp>
    <xdr:clientData/>
  </xdr:oneCellAnchor>
  <xdr:oneCellAnchor>
    <xdr:from>
      <xdr:col>12</xdr:col>
      <xdr:colOff>1908329</xdr:colOff>
      <xdr:row>8</xdr:row>
      <xdr:rowOff>130629</xdr:rowOff>
    </xdr:from>
    <xdr:ext cx="882832" cy="264560"/>
    <xdr:sp macro="" textlink="$Q$94">
      <xdr:nvSpPr>
        <xdr:cNvPr id="10" name="TextBox 9">
          <a:extLst>
            <a:ext uri="{FF2B5EF4-FFF2-40B4-BE49-F238E27FC236}">
              <a16:creationId xmlns:a16="http://schemas.microsoft.com/office/drawing/2014/main" id="{00000000-0008-0000-0000-00000A000000}"/>
            </a:ext>
          </a:extLst>
        </xdr:cNvPr>
        <xdr:cNvSpPr txBox="1"/>
      </xdr:nvSpPr>
      <xdr:spPr>
        <a:xfrm>
          <a:off x="9824164" y="1493264"/>
          <a:ext cx="882832"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E19596C8-DA4C-42CC-9CAB-C620C53A7CE9}" type="TxLink">
            <a:rPr lang="en-US" sz="1100" b="0" i="0" u="none" strike="noStrike">
              <a:solidFill>
                <a:srgbClr val="000000"/>
              </a:solidFill>
              <a:latin typeface="Calibri"/>
              <a:cs typeface="Calibri"/>
            </a:rPr>
            <a:pPr algn="ctr"/>
            <a:t>3.5μH</a:t>
          </a:fld>
          <a:endParaRPr lang="en-US" sz="1100" b="1">
            <a:solidFill>
              <a:sysClr val="windowText" lastClr="000000"/>
            </a:solidFill>
          </a:endParaRPr>
        </a:p>
      </xdr:txBody>
    </xdr:sp>
    <xdr:clientData/>
  </xdr:oneCellAnchor>
  <xdr:oneCellAnchor>
    <xdr:from>
      <xdr:col>13</xdr:col>
      <xdr:colOff>437321</xdr:colOff>
      <xdr:row>11</xdr:row>
      <xdr:rowOff>39057</xdr:rowOff>
    </xdr:from>
    <xdr:ext cx="837940" cy="436786"/>
    <xdr:sp macro="" textlink="$Q$95">
      <xdr:nvSpPr>
        <xdr:cNvPr id="11" name="TextBox 10">
          <a:extLst>
            <a:ext uri="{FF2B5EF4-FFF2-40B4-BE49-F238E27FC236}">
              <a16:creationId xmlns:a16="http://schemas.microsoft.com/office/drawing/2014/main" id="{00000000-0008-0000-0000-00000B000000}"/>
            </a:ext>
          </a:extLst>
        </xdr:cNvPr>
        <xdr:cNvSpPr txBox="1"/>
      </xdr:nvSpPr>
      <xdr:spPr>
        <a:xfrm>
          <a:off x="12425214" y="1916843"/>
          <a:ext cx="837940"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68D3378A-9CFB-4129-A62F-79A2E4A47315}" type="TxLink">
            <a:rPr lang="en-US" sz="1100" b="0" i="0" u="none" strike="noStrike">
              <a:solidFill>
                <a:srgbClr val="000000"/>
              </a:solidFill>
              <a:latin typeface="Calibri"/>
              <a:cs typeface="Calibri"/>
            </a:rPr>
            <a:pPr algn="l"/>
            <a:t>COUT_HF 2.2uF</a:t>
          </a:fld>
          <a:endParaRPr lang="en-US" sz="1100" b="0" i="0" u="none" strike="noStrike">
            <a:solidFill>
              <a:srgbClr val="000000"/>
            </a:solidFill>
            <a:latin typeface="Calibri"/>
            <a:cs typeface="Calibri"/>
          </a:endParaRPr>
        </a:p>
      </xdr:txBody>
    </xdr:sp>
    <xdr:clientData/>
  </xdr:oneCellAnchor>
  <xdr:oneCellAnchor>
    <xdr:from>
      <xdr:col>13</xdr:col>
      <xdr:colOff>1401693</xdr:colOff>
      <xdr:row>11</xdr:row>
      <xdr:rowOff>39056</xdr:rowOff>
    </xdr:from>
    <xdr:ext cx="812590" cy="436786"/>
    <xdr:sp macro="" textlink="$Q$96">
      <xdr:nvSpPr>
        <xdr:cNvPr id="14" name="TextBox 13">
          <a:extLst>
            <a:ext uri="{FF2B5EF4-FFF2-40B4-BE49-F238E27FC236}">
              <a16:creationId xmlns:a16="http://schemas.microsoft.com/office/drawing/2014/main" id="{00000000-0008-0000-0000-00000E000000}"/>
            </a:ext>
          </a:extLst>
        </xdr:cNvPr>
        <xdr:cNvSpPr txBox="1"/>
      </xdr:nvSpPr>
      <xdr:spPr>
        <a:xfrm>
          <a:off x="13253034" y="1939574"/>
          <a:ext cx="812590"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648B72EC-A9C4-4031-BE33-9FE4AC6C6195}" type="TxLink">
            <a:rPr lang="en-US" sz="1100" b="0" i="0" u="none" strike="noStrike">
              <a:solidFill>
                <a:srgbClr val="000000"/>
              </a:solidFill>
              <a:latin typeface="Calibri"/>
              <a:cs typeface="Calibri"/>
            </a:rPr>
            <a:pPr algn="l"/>
            <a:t>COUT 80μF</a:t>
          </a:fld>
          <a:endParaRPr lang="en-US" sz="1100" b="1">
            <a:solidFill>
              <a:sysClr val="windowText" lastClr="000000"/>
            </a:solidFill>
          </a:endParaRPr>
        </a:p>
      </xdr:txBody>
    </xdr:sp>
    <xdr:clientData/>
  </xdr:oneCellAnchor>
  <xdr:oneCellAnchor>
    <xdr:from>
      <xdr:col>13</xdr:col>
      <xdr:colOff>2411503</xdr:colOff>
      <xdr:row>11</xdr:row>
      <xdr:rowOff>35859</xdr:rowOff>
    </xdr:from>
    <xdr:ext cx="1110343" cy="436786"/>
    <xdr:sp macro="" textlink="$Q$97">
      <xdr:nvSpPr>
        <xdr:cNvPr id="17" name="TextBox 16">
          <a:extLst>
            <a:ext uri="{FF2B5EF4-FFF2-40B4-BE49-F238E27FC236}">
              <a16:creationId xmlns:a16="http://schemas.microsoft.com/office/drawing/2014/main" id="{00000000-0008-0000-0000-000011000000}"/>
            </a:ext>
          </a:extLst>
        </xdr:cNvPr>
        <xdr:cNvSpPr txBox="1"/>
      </xdr:nvSpPr>
      <xdr:spPr>
        <a:xfrm>
          <a:off x="14262844" y="1936377"/>
          <a:ext cx="1110343"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2CBDA5B4-B9F8-4063-99D0-D4BE92E4DB78}" type="TxLink">
            <a:rPr lang="en-US" sz="1100" b="0" i="0" u="none" strike="noStrike">
              <a:solidFill>
                <a:srgbClr val="000000"/>
              </a:solidFill>
              <a:latin typeface="Calibri"/>
              <a:cs typeface="Calibri"/>
            </a:rPr>
            <a:pPr algn="l"/>
            <a:t>COUT_BULK 68uF</a:t>
          </a:fld>
          <a:endParaRPr lang="en-US" sz="1100" b="1">
            <a:solidFill>
              <a:sysClr val="windowText" lastClr="000000"/>
            </a:solidFill>
          </a:endParaRPr>
        </a:p>
      </xdr:txBody>
    </xdr:sp>
    <xdr:clientData/>
  </xdr:oneCellAnchor>
  <xdr:oneCellAnchor>
    <xdr:from>
      <xdr:col>8</xdr:col>
      <xdr:colOff>125504</xdr:colOff>
      <xdr:row>9</xdr:row>
      <xdr:rowOff>152402</xdr:rowOff>
    </xdr:from>
    <xdr:ext cx="950266" cy="436786"/>
    <xdr:sp macro="" textlink="$Q$98">
      <xdr:nvSpPr>
        <xdr:cNvPr id="18" name="TextBox 17">
          <a:extLst>
            <a:ext uri="{FF2B5EF4-FFF2-40B4-BE49-F238E27FC236}">
              <a16:creationId xmlns:a16="http://schemas.microsoft.com/office/drawing/2014/main" id="{00000000-0008-0000-0000-000012000000}"/>
            </a:ext>
          </a:extLst>
        </xdr:cNvPr>
        <xdr:cNvSpPr txBox="1"/>
      </xdr:nvSpPr>
      <xdr:spPr>
        <a:xfrm>
          <a:off x="5387786" y="1694331"/>
          <a:ext cx="950266"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AAD2BFF9-4D2E-462D-94B0-081777D7E63F}" type="TxLink">
            <a:rPr lang="en-US" sz="1100" b="0" i="0" u="none" strike="noStrike">
              <a:solidFill>
                <a:srgbClr val="000000"/>
              </a:solidFill>
              <a:latin typeface="Calibri"/>
              <a:cs typeface="Calibri"/>
            </a:rPr>
            <a:pPr algn="l"/>
            <a:t>CIN_HF       2x 0.47uF</a:t>
          </a:fld>
          <a:endParaRPr lang="en-US" sz="1100" b="1">
            <a:solidFill>
              <a:sysClr val="windowText" lastClr="000000"/>
            </a:solidFill>
          </a:endParaRPr>
        </a:p>
      </xdr:txBody>
    </xdr:sp>
    <xdr:clientData/>
  </xdr:oneCellAnchor>
  <xdr:oneCellAnchor>
    <xdr:from>
      <xdr:col>6</xdr:col>
      <xdr:colOff>555811</xdr:colOff>
      <xdr:row>9</xdr:row>
      <xdr:rowOff>134472</xdr:rowOff>
    </xdr:from>
    <xdr:ext cx="726147" cy="436786"/>
    <xdr:sp macro="" textlink="$Q$99">
      <xdr:nvSpPr>
        <xdr:cNvPr id="19" name="TextBox 18">
          <a:extLst>
            <a:ext uri="{FF2B5EF4-FFF2-40B4-BE49-F238E27FC236}">
              <a16:creationId xmlns:a16="http://schemas.microsoft.com/office/drawing/2014/main" id="{00000000-0008-0000-0000-000013000000}"/>
            </a:ext>
          </a:extLst>
        </xdr:cNvPr>
        <xdr:cNvSpPr txBox="1"/>
      </xdr:nvSpPr>
      <xdr:spPr>
        <a:xfrm>
          <a:off x="4598893" y="1676401"/>
          <a:ext cx="72614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B47D0584-700D-4FA0-8EE5-A5F081E78E8E}" type="TxLink">
            <a:rPr lang="en-US" sz="1100" b="0" i="0" u="none" strike="noStrike">
              <a:solidFill>
                <a:srgbClr val="000000"/>
              </a:solidFill>
              <a:latin typeface="Calibri"/>
              <a:cs typeface="Calibri"/>
            </a:rPr>
            <a:pPr algn="l"/>
            <a:t>CIN       2x 10uF</a:t>
          </a:fld>
          <a:endParaRPr lang="en-US" sz="1100" b="1">
            <a:solidFill>
              <a:sysClr val="windowText" lastClr="000000"/>
            </a:solidFill>
          </a:endParaRPr>
        </a:p>
      </xdr:txBody>
    </xdr:sp>
    <xdr:clientData/>
  </xdr:oneCellAnchor>
  <xdr:oneCellAnchor>
    <xdr:from>
      <xdr:col>5</xdr:col>
      <xdr:colOff>259974</xdr:colOff>
      <xdr:row>9</xdr:row>
      <xdr:rowOff>143438</xdr:rowOff>
    </xdr:from>
    <xdr:ext cx="950266" cy="436786"/>
    <xdr:sp macro="" textlink="$Q$100">
      <xdr:nvSpPr>
        <xdr:cNvPr id="20" name="TextBox 19">
          <a:extLst>
            <a:ext uri="{FF2B5EF4-FFF2-40B4-BE49-F238E27FC236}">
              <a16:creationId xmlns:a16="http://schemas.microsoft.com/office/drawing/2014/main" id="{00000000-0008-0000-0000-000014000000}"/>
            </a:ext>
          </a:extLst>
        </xdr:cNvPr>
        <xdr:cNvSpPr txBox="1"/>
      </xdr:nvSpPr>
      <xdr:spPr>
        <a:xfrm>
          <a:off x="3693456" y="1685367"/>
          <a:ext cx="950266"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E7578B2C-3111-4966-ACAF-D0221DBD2AEE}" type="TxLink">
            <a:rPr lang="en-US" sz="1100" b="0" i="0" u="none" strike="noStrike">
              <a:solidFill>
                <a:srgbClr val="000000"/>
              </a:solidFill>
              <a:latin typeface="Calibri"/>
              <a:cs typeface="Calibri"/>
            </a:rPr>
            <a:pPr algn="l"/>
            <a:t>CIN_BULK 30uF</a:t>
          </a:fld>
          <a:endParaRPr lang="en-US" sz="1100" b="1">
            <a:solidFill>
              <a:sysClr val="windowText" lastClr="000000"/>
            </a:solidFill>
          </a:endParaRPr>
        </a:p>
      </xdr:txBody>
    </xdr:sp>
    <xdr:clientData/>
  </xdr:oneCellAnchor>
  <xdr:oneCellAnchor>
    <xdr:from>
      <xdr:col>12</xdr:col>
      <xdr:colOff>2483212</xdr:colOff>
      <xdr:row>13</xdr:row>
      <xdr:rowOff>107579</xdr:rowOff>
    </xdr:from>
    <xdr:ext cx="762007" cy="436786"/>
    <xdr:sp macro="" textlink="$Q$101">
      <xdr:nvSpPr>
        <xdr:cNvPr id="21" name="TextBox 20">
          <a:extLst>
            <a:ext uri="{FF2B5EF4-FFF2-40B4-BE49-F238E27FC236}">
              <a16:creationId xmlns:a16="http://schemas.microsoft.com/office/drawing/2014/main" id="{00000000-0008-0000-0000-000015000000}"/>
            </a:ext>
          </a:extLst>
        </xdr:cNvPr>
        <xdr:cNvSpPr txBox="1"/>
      </xdr:nvSpPr>
      <xdr:spPr>
        <a:xfrm>
          <a:off x="10399047" y="2366685"/>
          <a:ext cx="76200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r"/>
          <a:fld id="{B28544C7-D144-4862-8C8B-1FBAD6FA98B8}" type="TxLink">
            <a:rPr lang="en-US" sz="1100" b="0" i="0" u="none" strike="noStrike">
              <a:solidFill>
                <a:srgbClr val="000000"/>
              </a:solidFill>
              <a:latin typeface="Calibri"/>
              <a:cs typeface="Calibri"/>
            </a:rPr>
            <a:pPr algn="r"/>
            <a:t>RFBT 100kΩ</a:t>
          </a:fld>
          <a:endParaRPr lang="en-US" sz="1100" b="1">
            <a:solidFill>
              <a:sysClr val="windowText" lastClr="000000"/>
            </a:solidFill>
          </a:endParaRPr>
        </a:p>
      </xdr:txBody>
    </xdr:sp>
    <xdr:clientData/>
  </xdr:oneCellAnchor>
  <xdr:oneCellAnchor>
    <xdr:from>
      <xdr:col>12</xdr:col>
      <xdr:colOff>3218322</xdr:colOff>
      <xdr:row>18</xdr:row>
      <xdr:rowOff>55136</xdr:rowOff>
    </xdr:from>
    <xdr:ext cx="762007" cy="436786"/>
    <xdr:sp macro="" textlink="$Q$102">
      <xdr:nvSpPr>
        <xdr:cNvPr id="22" name="TextBox 21">
          <a:extLst>
            <a:ext uri="{FF2B5EF4-FFF2-40B4-BE49-F238E27FC236}">
              <a16:creationId xmlns:a16="http://schemas.microsoft.com/office/drawing/2014/main" id="{00000000-0008-0000-0000-000016000000}"/>
            </a:ext>
          </a:extLst>
        </xdr:cNvPr>
        <xdr:cNvSpPr txBox="1"/>
      </xdr:nvSpPr>
      <xdr:spPr>
        <a:xfrm>
          <a:off x="11230528" y="3248812"/>
          <a:ext cx="76200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AD48373F-DF31-46DE-BF7C-94F92AC1827B}" type="TxLink">
            <a:rPr lang="en-US" sz="1100" b="0" i="0" u="none" strike="noStrike">
              <a:solidFill>
                <a:srgbClr val="000000"/>
              </a:solidFill>
              <a:latin typeface="Calibri"/>
              <a:cs typeface="Calibri"/>
            </a:rPr>
            <a:pPr algn="l"/>
            <a:t>RFBB 6.65kΩ</a:t>
          </a:fld>
          <a:endParaRPr lang="en-US" sz="1100" b="1">
            <a:solidFill>
              <a:sysClr val="windowText" lastClr="000000"/>
            </a:solidFill>
          </a:endParaRPr>
        </a:p>
      </xdr:txBody>
    </xdr:sp>
    <xdr:clientData/>
  </xdr:oneCellAnchor>
  <xdr:oneCellAnchor>
    <xdr:from>
      <xdr:col>12</xdr:col>
      <xdr:colOff>3765168</xdr:colOff>
      <xdr:row>12</xdr:row>
      <xdr:rowOff>71720</xdr:rowOff>
    </xdr:from>
    <xdr:ext cx="591681" cy="436786"/>
    <xdr:sp macro="" textlink="$Q$103">
      <xdr:nvSpPr>
        <xdr:cNvPr id="23" name="TextBox 22">
          <a:extLst>
            <a:ext uri="{FF2B5EF4-FFF2-40B4-BE49-F238E27FC236}">
              <a16:creationId xmlns:a16="http://schemas.microsoft.com/office/drawing/2014/main" id="{00000000-0008-0000-0000-000017000000}"/>
            </a:ext>
          </a:extLst>
        </xdr:cNvPr>
        <xdr:cNvSpPr txBox="1"/>
      </xdr:nvSpPr>
      <xdr:spPr>
        <a:xfrm>
          <a:off x="11681003" y="2151532"/>
          <a:ext cx="591681"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0780D781-372B-4546-BFAF-D008F40C17D4}" type="TxLink">
            <a:rPr lang="en-US" sz="1100" b="0" i="0" u="none" strike="noStrike">
              <a:solidFill>
                <a:srgbClr val="000000"/>
              </a:solidFill>
              <a:latin typeface="Calibri"/>
              <a:cs typeface="Calibri"/>
            </a:rPr>
            <a:pPr algn="l"/>
            <a:t>CFF 10pF</a:t>
          </a:fld>
          <a:endParaRPr lang="en-US" sz="1100" b="1">
            <a:solidFill>
              <a:sysClr val="windowText" lastClr="000000"/>
            </a:solidFill>
          </a:endParaRPr>
        </a:p>
      </xdr:txBody>
    </xdr:sp>
    <xdr:clientData/>
  </xdr:oneCellAnchor>
  <xdr:oneCellAnchor>
    <xdr:from>
      <xdr:col>12</xdr:col>
      <xdr:colOff>3684487</xdr:colOff>
      <xdr:row>14</xdr:row>
      <xdr:rowOff>161368</xdr:rowOff>
    </xdr:from>
    <xdr:ext cx="762007" cy="436786"/>
    <xdr:sp macro="" textlink="$Q$104">
      <xdr:nvSpPr>
        <xdr:cNvPr id="24" name="TextBox 23">
          <a:extLst>
            <a:ext uri="{FF2B5EF4-FFF2-40B4-BE49-F238E27FC236}">
              <a16:creationId xmlns:a16="http://schemas.microsoft.com/office/drawing/2014/main" id="{00000000-0008-0000-0000-000018000000}"/>
            </a:ext>
          </a:extLst>
        </xdr:cNvPr>
        <xdr:cNvSpPr txBox="1"/>
      </xdr:nvSpPr>
      <xdr:spPr>
        <a:xfrm>
          <a:off x="11600322" y="2599768"/>
          <a:ext cx="76200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3D4B7DD8-BE0B-42CB-A0DF-2F1BED3E7B40}" type="TxLink">
            <a:rPr lang="en-US" sz="1100" b="0" i="0" u="none" strike="noStrike">
              <a:solidFill>
                <a:srgbClr val="000000"/>
              </a:solidFill>
              <a:latin typeface="Calibri"/>
              <a:cs typeface="Calibri"/>
            </a:rPr>
            <a:pPr algn="l"/>
            <a:t>RFF 4.99kΩ</a:t>
          </a:fld>
          <a:endParaRPr lang="en-US" sz="1100" b="1">
            <a:solidFill>
              <a:sysClr val="windowText" lastClr="000000"/>
            </a:solidFill>
          </a:endParaRPr>
        </a:p>
      </xdr:txBody>
    </xdr:sp>
    <xdr:clientData/>
  </xdr:oneCellAnchor>
  <xdr:oneCellAnchor>
    <xdr:from>
      <xdr:col>9</xdr:col>
      <xdr:colOff>259970</xdr:colOff>
      <xdr:row>10</xdr:row>
      <xdr:rowOff>8969</xdr:rowOff>
    </xdr:from>
    <xdr:ext cx="762007" cy="436786"/>
    <xdr:sp macro="" textlink="$Q$105">
      <xdr:nvSpPr>
        <xdr:cNvPr id="25" name="TextBox 24">
          <a:extLst>
            <a:ext uri="{FF2B5EF4-FFF2-40B4-BE49-F238E27FC236}">
              <a16:creationId xmlns:a16="http://schemas.microsoft.com/office/drawing/2014/main" id="{00000000-0008-0000-0000-000019000000}"/>
            </a:ext>
          </a:extLst>
        </xdr:cNvPr>
        <xdr:cNvSpPr txBox="1"/>
      </xdr:nvSpPr>
      <xdr:spPr>
        <a:xfrm>
          <a:off x="6131852" y="1730193"/>
          <a:ext cx="76200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5F76478E-A88C-4650-B017-0279516B6A6E}" type="TxLink">
            <a:rPr lang="en-US" sz="1100" b="0" i="0" u="none" strike="noStrike">
              <a:solidFill>
                <a:srgbClr val="000000"/>
              </a:solidFill>
              <a:latin typeface="Calibri"/>
              <a:cs typeface="Calibri"/>
            </a:rPr>
            <a:pPr algn="l"/>
            <a:t>RENT 100kΩ</a:t>
          </a:fld>
          <a:endParaRPr lang="en-US" sz="1100" b="1">
            <a:solidFill>
              <a:sysClr val="windowText" lastClr="000000"/>
            </a:solidFill>
          </a:endParaRPr>
        </a:p>
      </xdr:txBody>
    </xdr:sp>
    <xdr:clientData/>
  </xdr:oneCellAnchor>
  <xdr:oneCellAnchor>
    <xdr:from>
      <xdr:col>9</xdr:col>
      <xdr:colOff>259970</xdr:colOff>
      <xdr:row>12</xdr:row>
      <xdr:rowOff>53793</xdr:rowOff>
    </xdr:from>
    <xdr:ext cx="762007" cy="436786"/>
    <xdr:sp macro="" textlink="$Q$106">
      <xdr:nvSpPr>
        <xdr:cNvPr id="26" name="TextBox 25">
          <a:extLst>
            <a:ext uri="{FF2B5EF4-FFF2-40B4-BE49-F238E27FC236}">
              <a16:creationId xmlns:a16="http://schemas.microsoft.com/office/drawing/2014/main" id="{00000000-0008-0000-0000-00001A000000}"/>
            </a:ext>
          </a:extLst>
        </xdr:cNvPr>
        <xdr:cNvSpPr txBox="1"/>
      </xdr:nvSpPr>
      <xdr:spPr>
        <a:xfrm>
          <a:off x="6131852" y="2133605"/>
          <a:ext cx="762007"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70323F28-92D6-4642-A64C-30AB0DA677D6}" type="TxLink">
            <a:rPr lang="en-US" sz="1100" b="0" i="0" u="none" strike="noStrike">
              <a:solidFill>
                <a:srgbClr val="000000"/>
              </a:solidFill>
              <a:latin typeface="Calibri"/>
              <a:cs typeface="Calibri"/>
            </a:rPr>
            <a:pPr algn="l"/>
            <a:t>RENB 22.6kΩ</a:t>
          </a:fld>
          <a:endParaRPr lang="en-US" sz="1100" b="1">
            <a:solidFill>
              <a:sysClr val="windowText" lastClr="000000"/>
            </a:solidFill>
          </a:endParaRPr>
        </a:p>
      </xdr:txBody>
    </xdr:sp>
    <xdr:clientData/>
  </xdr:oneCellAnchor>
  <xdr:oneCellAnchor>
    <xdr:from>
      <xdr:col>8</xdr:col>
      <xdr:colOff>191457</xdr:colOff>
      <xdr:row>20</xdr:row>
      <xdr:rowOff>3200</xdr:rowOff>
    </xdr:from>
    <xdr:ext cx="1110343" cy="264560"/>
    <xdr:sp macro="" textlink="$Q$107">
      <xdr:nvSpPr>
        <xdr:cNvPr id="27" name="TextBox 26">
          <a:extLst>
            <a:ext uri="{FF2B5EF4-FFF2-40B4-BE49-F238E27FC236}">
              <a16:creationId xmlns:a16="http://schemas.microsoft.com/office/drawing/2014/main" id="{00000000-0008-0000-0000-00001B000000}"/>
            </a:ext>
          </a:extLst>
        </xdr:cNvPr>
        <xdr:cNvSpPr txBox="1"/>
      </xdr:nvSpPr>
      <xdr:spPr>
        <a:xfrm>
          <a:off x="5458222" y="3555465"/>
          <a:ext cx="1110343" cy="264560"/>
        </a:xfrm>
        <a:prstGeom prst="rect">
          <a:avLst/>
        </a:prstGeom>
        <a:solidFill>
          <a:schemeClr val="bg1"/>
        </a:solidFill>
        <a:ln w="12700">
          <a:solidFill>
            <a:srgbClr val="002060"/>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9B142E94-8FA1-4644-BE34-3653630B9E4F}" type="TxLink">
            <a:rPr lang="en-US" sz="1100" b="0" i="0" u="none" strike="noStrike">
              <a:solidFill>
                <a:srgbClr val="000000"/>
              </a:solidFill>
              <a:latin typeface="Calibri"/>
              <a:cs typeface="Calibri"/>
            </a:rPr>
            <a:pPr algn="ctr"/>
            <a:t>Short to VCC</a:t>
          </a:fld>
          <a:endParaRPr lang="en-US" sz="1100" b="1">
            <a:solidFill>
              <a:sysClr val="windowText" lastClr="000000"/>
            </a:solidFill>
          </a:endParaRPr>
        </a:p>
      </xdr:txBody>
    </xdr:sp>
    <xdr:clientData/>
  </xdr:oneCellAnchor>
  <xdr:oneCellAnchor>
    <xdr:from>
      <xdr:col>12</xdr:col>
      <xdr:colOff>976003</xdr:colOff>
      <xdr:row>14</xdr:row>
      <xdr:rowOff>148559</xdr:rowOff>
    </xdr:from>
    <xdr:ext cx="882832" cy="264560"/>
    <xdr:sp macro="" textlink="$Q$108">
      <xdr:nvSpPr>
        <xdr:cNvPr id="28" name="TextBox 27">
          <a:extLst>
            <a:ext uri="{FF2B5EF4-FFF2-40B4-BE49-F238E27FC236}">
              <a16:creationId xmlns:a16="http://schemas.microsoft.com/office/drawing/2014/main" id="{00000000-0008-0000-0000-00001C000000}"/>
            </a:ext>
          </a:extLst>
        </xdr:cNvPr>
        <xdr:cNvSpPr txBox="1"/>
      </xdr:nvSpPr>
      <xdr:spPr>
        <a:xfrm>
          <a:off x="8891838" y="2586959"/>
          <a:ext cx="882832" cy="264560"/>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574D7A21-A88A-4888-A24D-ED09BA7435D2}" type="TxLink">
            <a:rPr lang="en-US" sz="1100" b="0" i="0" u="none" strike="noStrike">
              <a:solidFill>
                <a:srgbClr val="000000"/>
              </a:solidFill>
              <a:latin typeface="Calibri"/>
              <a:cs typeface="Calibri"/>
            </a:rPr>
            <a:pPr algn="ctr"/>
            <a:t>RBOOT 0Ω</a:t>
          </a:fld>
          <a:endParaRPr lang="en-US" sz="1100" b="1">
            <a:solidFill>
              <a:sysClr val="windowText" lastClr="000000"/>
            </a:solidFill>
          </a:endParaRPr>
        </a:p>
      </xdr:txBody>
    </xdr:sp>
    <xdr:clientData/>
  </xdr:oneCellAnchor>
  <xdr:oneCellAnchor>
    <xdr:from>
      <xdr:col>12</xdr:col>
      <xdr:colOff>1675251</xdr:colOff>
      <xdr:row>11</xdr:row>
      <xdr:rowOff>40980</xdr:rowOff>
    </xdr:from>
    <xdr:ext cx="882832" cy="436786"/>
    <xdr:sp macro="" textlink="$Q$109">
      <xdr:nvSpPr>
        <xdr:cNvPr id="29" name="TextBox 28">
          <a:extLst>
            <a:ext uri="{FF2B5EF4-FFF2-40B4-BE49-F238E27FC236}">
              <a16:creationId xmlns:a16="http://schemas.microsoft.com/office/drawing/2014/main" id="{00000000-0008-0000-0000-00001D000000}"/>
            </a:ext>
          </a:extLst>
        </xdr:cNvPr>
        <xdr:cNvSpPr txBox="1"/>
      </xdr:nvSpPr>
      <xdr:spPr>
        <a:xfrm>
          <a:off x="9591086" y="1941498"/>
          <a:ext cx="882832"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0833850B-AC72-4384-8D74-5D5E9F8B0FF7}" type="TxLink">
            <a:rPr lang="en-US" sz="1100" b="0" i="0" u="none" strike="noStrike">
              <a:solidFill>
                <a:srgbClr val="000000"/>
              </a:solidFill>
              <a:latin typeface="Calibri"/>
              <a:cs typeface="Calibri"/>
            </a:rPr>
            <a:pPr algn="l"/>
            <a:t>CBOOT 0.1uF</a:t>
          </a:fld>
          <a:endParaRPr lang="en-US" sz="1100" b="1">
            <a:solidFill>
              <a:sysClr val="windowText" lastClr="000000"/>
            </a:solidFill>
          </a:endParaRPr>
        </a:p>
      </xdr:txBody>
    </xdr:sp>
    <xdr:clientData/>
  </xdr:oneCellAnchor>
  <xdr:oneCellAnchor>
    <xdr:from>
      <xdr:col>12</xdr:col>
      <xdr:colOff>2422777</xdr:colOff>
      <xdr:row>16</xdr:row>
      <xdr:rowOff>172183</xdr:rowOff>
    </xdr:from>
    <xdr:ext cx="706249" cy="609013"/>
    <xdr:sp macro="" textlink="$Q$110">
      <xdr:nvSpPr>
        <xdr:cNvPr id="31" name="TextBox 30">
          <a:extLst>
            <a:ext uri="{FF2B5EF4-FFF2-40B4-BE49-F238E27FC236}">
              <a16:creationId xmlns:a16="http://schemas.microsoft.com/office/drawing/2014/main" id="{00000000-0008-0000-0000-00001F000000}"/>
            </a:ext>
          </a:extLst>
        </xdr:cNvPr>
        <xdr:cNvSpPr txBox="1"/>
      </xdr:nvSpPr>
      <xdr:spPr>
        <a:xfrm>
          <a:off x="10643412" y="2987101"/>
          <a:ext cx="706249" cy="609013"/>
        </a:xfrm>
        <a:prstGeom prst="rect">
          <a:avLst/>
        </a:prstGeom>
        <a:solidFill>
          <a:schemeClr val="bg1"/>
        </a:solidFill>
        <a:ln w="12700">
          <a:solidFill>
            <a:srgbClr val="002060"/>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927E204E-D9A9-42B3-83C8-9D2708F873F0}" type="TxLink">
            <a:rPr lang="en-US" sz="1100" b="0" i="0" u="none" strike="noStrike">
              <a:solidFill>
                <a:srgbClr val="000000"/>
              </a:solidFill>
              <a:latin typeface="Calibri"/>
              <a:cs typeface="Calibri"/>
            </a:rPr>
            <a:pPr algn="ctr"/>
            <a:t>External supply 3.3V-12V</a:t>
          </a:fld>
          <a:endParaRPr lang="en-US" sz="1100" b="1">
            <a:solidFill>
              <a:sysClr val="windowText" lastClr="000000"/>
            </a:solidFill>
          </a:endParaRPr>
        </a:p>
      </xdr:txBody>
    </xdr:sp>
    <xdr:clientData/>
  </xdr:oneCellAnchor>
  <xdr:oneCellAnchor>
    <xdr:from>
      <xdr:col>12</xdr:col>
      <xdr:colOff>1478030</xdr:colOff>
      <xdr:row>20</xdr:row>
      <xdr:rowOff>121660</xdr:rowOff>
    </xdr:from>
    <xdr:ext cx="682468" cy="436786"/>
    <xdr:sp macro="" textlink="$Q$111">
      <xdr:nvSpPr>
        <xdr:cNvPr id="32" name="TextBox 31">
          <a:extLst>
            <a:ext uri="{FF2B5EF4-FFF2-40B4-BE49-F238E27FC236}">
              <a16:creationId xmlns:a16="http://schemas.microsoft.com/office/drawing/2014/main" id="{00000000-0008-0000-0000-000020000000}"/>
            </a:ext>
          </a:extLst>
        </xdr:cNvPr>
        <xdr:cNvSpPr txBox="1"/>
      </xdr:nvSpPr>
      <xdr:spPr>
        <a:xfrm>
          <a:off x="9375936" y="3662719"/>
          <a:ext cx="682468"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42F5B304-6CC2-4A14-B601-73572836A480}" type="TxLink">
            <a:rPr lang="en-US" sz="1100" b="0" i="0" u="none" strike="noStrike">
              <a:solidFill>
                <a:srgbClr val="000000"/>
              </a:solidFill>
              <a:latin typeface="Calibri"/>
              <a:cs typeface="Calibri"/>
            </a:rPr>
            <a:pPr algn="l"/>
            <a:t>CVCC 1uF</a:t>
          </a:fld>
          <a:endParaRPr lang="en-US" sz="1100" b="1">
            <a:solidFill>
              <a:sysClr val="windowText" lastClr="000000"/>
            </a:solidFill>
          </a:endParaRPr>
        </a:p>
      </xdr:txBody>
    </xdr:sp>
    <xdr:clientData/>
  </xdr:oneCellAnchor>
  <xdr:oneCellAnchor>
    <xdr:from>
      <xdr:col>8</xdr:col>
      <xdr:colOff>191457</xdr:colOff>
      <xdr:row>16</xdr:row>
      <xdr:rowOff>101801</xdr:rowOff>
    </xdr:from>
    <xdr:ext cx="1110343" cy="264560"/>
    <xdr:sp macro="" textlink="$Q$112">
      <xdr:nvSpPr>
        <xdr:cNvPr id="33" name="TextBox 32">
          <a:extLst>
            <a:ext uri="{FF2B5EF4-FFF2-40B4-BE49-F238E27FC236}">
              <a16:creationId xmlns:a16="http://schemas.microsoft.com/office/drawing/2014/main" id="{00000000-0008-0000-0000-000021000000}"/>
            </a:ext>
          </a:extLst>
        </xdr:cNvPr>
        <xdr:cNvSpPr txBox="1"/>
      </xdr:nvSpPr>
      <xdr:spPr>
        <a:xfrm>
          <a:off x="5435810" y="2916719"/>
          <a:ext cx="1110343" cy="264560"/>
        </a:xfrm>
        <a:prstGeom prst="rect">
          <a:avLst/>
        </a:prstGeom>
        <a:solidFill>
          <a:schemeClr val="bg1"/>
        </a:solidFill>
        <a:ln w="12700">
          <a:solidFill>
            <a:srgbClr val="002060"/>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C3BC6587-4321-409C-B666-439A0197CF79}" type="TxLink">
            <a:rPr lang="en-US" sz="1100" b="0" i="0" u="none" strike="noStrike">
              <a:solidFill>
                <a:srgbClr val="000000"/>
              </a:solidFill>
              <a:latin typeface="Calibri"/>
              <a:cs typeface="Calibri"/>
            </a:rPr>
            <a:pPr algn="ctr"/>
            <a:t>11.8kΩ to GND</a:t>
          </a:fld>
          <a:endParaRPr lang="en-US" sz="1100" b="1">
            <a:solidFill>
              <a:sysClr val="windowText" lastClr="000000"/>
            </a:solidFill>
          </a:endParaRPr>
        </a:p>
      </xdr:txBody>
    </xdr:sp>
    <xdr:clientData/>
  </xdr:oneCellAnchor>
  <xdr:oneCellAnchor>
    <xdr:from>
      <xdr:col>8</xdr:col>
      <xdr:colOff>188259</xdr:colOff>
      <xdr:row>18</xdr:row>
      <xdr:rowOff>44823</xdr:rowOff>
    </xdr:from>
    <xdr:ext cx="1110343" cy="264560"/>
    <xdr:sp macro="" textlink="$Q$113">
      <xdr:nvSpPr>
        <xdr:cNvPr id="35" name="TextBox 34">
          <a:extLst>
            <a:ext uri="{FF2B5EF4-FFF2-40B4-BE49-F238E27FC236}">
              <a16:creationId xmlns:a16="http://schemas.microsoft.com/office/drawing/2014/main" id="{00000000-0008-0000-0000-000023000000}"/>
            </a:ext>
          </a:extLst>
        </xdr:cNvPr>
        <xdr:cNvSpPr txBox="1"/>
      </xdr:nvSpPr>
      <xdr:spPr>
        <a:xfrm>
          <a:off x="5432612" y="3227294"/>
          <a:ext cx="1110343" cy="264560"/>
        </a:xfrm>
        <a:prstGeom prst="rect">
          <a:avLst/>
        </a:prstGeom>
        <a:solidFill>
          <a:schemeClr val="bg1"/>
        </a:solidFill>
        <a:ln w="12700">
          <a:solidFill>
            <a:srgbClr val="002060"/>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44D10B4A-4E71-4D46-B923-637A2B86199E}" type="TxLink">
            <a:rPr lang="en-US" sz="1100" b="0" i="0" u="none" strike="noStrike">
              <a:solidFill>
                <a:srgbClr val="000000"/>
              </a:solidFill>
              <a:latin typeface="Calibri"/>
              <a:cs typeface="Calibri"/>
            </a:rPr>
            <a:pPr algn="ctr"/>
            <a:t>Short to GND</a:t>
          </a:fld>
          <a:endParaRPr lang="en-US" sz="1100" b="1">
            <a:solidFill>
              <a:sysClr val="windowText" lastClr="000000"/>
            </a:solidFill>
          </a:endParaRPr>
        </a:p>
      </xdr:txBody>
    </xdr:sp>
    <xdr:clientData/>
  </xdr:oneCellAnchor>
  <xdr:oneCellAnchor>
    <xdr:from>
      <xdr:col>12</xdr:col>
      <xdr:colOff>1595462</xdr:colOff>
      <xdr:row>18</xdr:row>
      <xdr:rowOff>44809</xdr:rowOff>
    </xdr:from>
    <xdr:ext cx="626759" cy="436786"/>
    <xdr:sp macro="" textlink="$Q$114">
      <xdr:nvSpPr>
        <xdr:cNvPr id="39" name="TextBox 38">
          <a:extLst>
            <a:ext uri="{FF2B5EF4-FFF2-40B4-BE49-F238E27FC236}">
              <a16:creationId xmlns:a16="http://schemas.microsoft.com/office/drawing/2014/main" id="{00000000-0008-0000-0000-000027000000}"/>
            </a:ext>
          </a:extLst>
        </xdr:cNvPr>
        <xdr:cNvSpPr txBox="1"/>
      </xdr:nvSpPr>
      <xdr:spPr>
        <a:xfrm>
          <a:off x="9493368" y="3227280"/>
          <a:ext cx="626759" cy="436786"/>
        </a:xfrm>
        <a:prstGeom prst="rect">
          <a:avLst/>
        </a:prstGeom>
        <a:solidFill>
          <a:schemeClr val="bg1"/>
        </a:solidFill>
        <a:ln w="12700">
          <a:solidFill>
            <a:srgbClr val="002060"/>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773FD1CD-6B91-46C5-A3F7-1940F2027F0A}" type="TxLink">
            <a:rPr lang="en-US" sz="1100" b="0" i="0" u="none" strike="noStrike">
              <a:solidFill>
                <a:srgbClr val="000000"/>
              </a:solidFill>
              <a:latin typeface="Calibri"/>
              <a:cs typeface="Calibri"/>
            </a:rPr>
            <a:pPr algn="ctr"/>
            <a:t>VOUT or VCC</a:t>
          </a:fld>
          <a:endParaRPr lang="en-US" sz="1100" b="1">
            <a:solidFill>
              <a:sysClr val="windowText" lastClr="000000"/>
            </a:solidFill>
          </a:endParaRPr>
        </a:p>
      </xdr:txBody>
    </xdr:sp>
    <xdr:clientData/>
  </xdr:oneCellAnchor>
  <xdr:oneCellAnchor>
    <xdr:from>
      <xdr:col>12</xdr:col>
      <xdr:colOff>2402540</xdr:colOff>
      <xdr:row>20</xdr:row>
      <xdr:rowOff>134471</xdr:rowOff>
    </xdr:from>
    <xdr:ext cx="682468" cy="436786"/>
    <xdr:sp macro="" textlink="$Q$115">
      <xdr:nvSpPr>
        <xdr:cNvPr id="40" name="TextBox 39">
          <a:extLst>
            <a:ext uri="{FF2B5EF4-FFF2-40B4-BE49-F238E27FC236}">
              <a16:creationId xmlns:a16="http://schemas.microsoft.com/office/drawing/2014/main" id="{00000000-0008-0000-0000-000028000000}"/>
            </a:ext>
          </a:extLst>
        </xdr:cNvPr>
        <xdr:cNvSpPr txBox="1"/>
      </xdr:nvSpPr>
      <xdr:spPr>
        <a:xfrm>
          <a:off x="10300446" y="3675530"/>
          <a:ext cx="682468"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fld id="{1193CB28-0ED5-4C0D-B9CB-3E3D31C85720}" type="TxLink">
            <a:rPr lang="en-US" sz="1100" b="0" i="0" u="none" strike="noStrike">
              <a:solidFill>
                <a:srgbClr val="000000"/>
              </a:solidFill>
              <a:latin typeface="Calibri"/>
              <a:cs typeface="Calibri"/>
            </a:rPr>
            <a:pPr algn="l"/>
            <a:t>CBIAS 0.1μF</a:t>
          </a:fld>
          <a:endParaRPr lang="en-US" sz="1100" b="1">
            <a:solidFill>
              <a:sysClr val="windowText" lastClr="000000"/>
            </a:solidFill>
          </a:endParaRPr>
        </a:p>
      </xdr:txBody>
    </xdr:sp>
    <xdr:clientData/>
  </xdr:oneCellAnchor>
  <xdr:oneCellAnchor>
    <xdr:from>
      <xdr:col>13</xdr:col>
      <xdr:colOff>247193</xdr:colOff>
      <xdr:row>14</xdr:row>
      <xdr:rowOff>75355</xdr:rowOff>
    </xdr:from>
    <xdr:ext cx="1496426" cy="436786"/>
    <xdr:sp macro="" textlink="$Q$103">
      <xdr:nvSpPr>
        <xdr:cNvPr id="34" name="TextBox 33">
          <a:extLst>
            <a:ext uri="{FF2B5EF4-FFF2-40B4-BE49-F238E27FC236}">
              <a16:creationId xmlns:a16="http://schemas.microsoft.com/office/drawing/2014/main" id="{20C0AE7C-0CA2-443E-B1C6-609CB21E5364}"/>
            </a:ext>
          </a:extLst>
        </xdr:cNvPr>
        <xdr:cNvSpPr txBox="1"/>
      </xdr:nvSpPr>
      <xdr:spPr>
        <a:xfrm>
          <a:off x="12235086" y="2483819"/>
          <a:ext cx="1496426" cy="436786"/>
        </a:xfrm>
        <a:prstGeom prst="rect">
          <a:avLst/>
        </a:prstGeom>
        <a:noFill/>
        <a:ln w="12700">
          <a:no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l"/>
          <a:r>
            <a:rPr lang="en-US" sz="1100" b="0" i="0" u="none" strike="noStrike">
              <a:solidFill>
                <a:srgbClr val="000000"/>
              </a:solidFill>
              <a:latin typeface="Calibri"/>
              <a:cs typeface="Calibri"/>
            </a:rPr>
            <a:t>CFF/RFF optional to</a:t>
          </a:r>
          <a:r>
            <a:rPr lang="en-US" sz="1100" b="0" i="0" u="none" strike="noStrike" baseline="0">
              <a:solidFill>
                <a:srgbClr val="000000"/>
              </a:solidFill>
              <a:latin typeface="Calibri"/>
              <a:cs typeface="Calibri"/>
            </a:rPr>
            <a:t> improve phase margin</a:t>
          </a:r>
          <a:endParaRPr lang="en-US" sz="1100" b="1">
            <a:solidFill>
              <a:sysClr val="windowText" lastClr="000000"/>
            </a:solidFill>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9"/>
  <sheetViews>
    <sheetView tabSelected="1" zoomScale="85" zoomScaleNormal="85" workbookViewId="0">
      <selection activeCell="F53" sqref="F53"/>
    </sheetView>
  </sheetViews>
  <sheetFormatPr defaultRowHeight="14.4" x14ac:dyDescent="0.3"/>
  <cols>
    <col min="1" max="1" width="1.88671875" style="7" customWidth="1"/>
    <col min="2" max="2" width="22.6640625" style="7" customWidth="1"/>
    <col min="3" max="3" width="12.33203125" style="7" customWidth="1"/>
    <col min="4" max="6" width="8.88671875" style="7"/>
    <col min="7" max="7" width="8.88671875" style="7" customWidth="1"/>
    <col min="8" max="11" width="8.88671875" style="7"/>
    <col min="12" max="12" width="12" style="7" bestFit="1" customWidth="1"/>
    <col min="13" max="14" width="57.33203125" style="7" customWidth="1"/>
    <col min="15" max="15" width="8" style="7" customWidth="1"/>
    <col min="16" max="16" width="28.33203125" style="7" bestFit="1" customWidth="1"/>
    <col min="17" max="17" width="12.44140625" style="7" bestFit="1" customWidth="1"/>
    <col min="18" max="18" width="7.21875" style="7" bestFit="1" customWidth="1"/>
    <col min="19" max="19" width="92.6640625" style="7" bestFit="1" customWidth="1"/>
    <col min="20" max="23" width="0" style="7" hidden="1" customWidth="1"/>
    <col min="24" max="24" width="49.5546875" style="7" bestFit="1" customWidth="1"/>
    <col min="25" max="16384" width="8.88671875" style="7"/>
  </cols>
  <sheetData>
    <row r="1" spans="1:24" ht="14.4" customHeight="1" x14ac:dyDescent="0.3">
      <c r="A1" s="4"/>
      <c r="B1" s="5"/>
      <c r="C1" s="5"/>
      <c r="D1" s="5"/>
      <c r="E1" s="6"/>
      <c r="F1" s="65" t="s">
        <v>169</v>
      </c>
      <c r="G1" s="65"/>
      <c r="H1" s="65"/>
      <c r="I1" s="65"/>
      <c r="J1" s="65"/>
      <c r="K1" s="65"/>
      <c r="L1" s="65"/>
      <c r="M1" s="65"/>
      <c r="N1" s="53"/>
      <c r="V1" s="26"/>
      <c r="W1" s="27"/>
    </row>
    <row r="2" spans="1:24" ht="14.4" customHeight="1" x14ac:dyDescent="0.3">
      <c r="A2" s="4"/>
      <c r="B2" s="5"/>
      <c r="C2" s="5"/>
      <c r="D2" s="5"/>
      <c r="E2" s="6"/>
      <c r="F2" s="65"/>
      <c r="G2" s="65"/>
      <c r="H2" s="65"/>
      <c r="I2" s="65"/>
      <c r="J2" s="65"/>
      <c r="K2" s="65"/>
      <c r="L2" s="65"/>
      <c r="M2" s="65"/>
      <c r="N2" s="53"/>
      <c r="V2" s="26"/>
      <c r="W2" s="27"/>
    </row>
    <row r="3" spans="1:24" ht="14.4" customHeight="1" x14ac:dyDescent="0.3">
      <c r="A3" s="4"/>
      <c r="B3" s="5"/>
      <c r="C3" s="5"/>
      <c r="D3" s="5"/>
      <c r="E3" s="6"/>
      <c r="F3" s="65"/>
      <c r="G3" s="65"/>
      <c r="H3" s="65"/>
      <c r="I3" s="65"/>
      <c r="J3" s="65"/>
      <c r="K3" s="65"/>
      <c r="L3" s="65"/>
      <c r="M3" s="65"/>
      <c r="N3" s="53"/>
      <c r="V3" s="26"/>
      <c r="W3" s="27"/>
    </row>
    <row r="4" spans="1:24" x14ac:dyDescent="0.3">
      <c r="A4" s="8"/>
      <c r="B4" s="8"/>
      <c r="C4" s="8"/>
      <c r="D4" s="8"/>
      <c r="E4" s="8"/>
      <c r="F4" s="8"/>
      <c r="G4" s="8"/>
      <c r="H4" s="8"/>
      <c r="I4" s="8"/>
      <c r="J4" s="8"/>
      <c r="K4" s="8"/>
      <c r="L4" s="8"/>
      <c r="M4" s="8"/>
      <c r="N4" s="8"/>
      <c r="V4" s="8"/>
      <c r="W4" s="8"/>
    </row>
    <row r="5" spans="1:24" x14ac:dyDescent="0.3">
      <c r="A5" s="8"/>
      <c r="B5" s="25" t="s">
        <v>0</v>
      </c>
      <c r="C5" s="8"/>
      <c r="D5" s="10"/>
      <c r="E5" s="9" t="str">
        <f>"= Input Box"</f>
        <v>= Input Box</v>
      </c>
      <c r="F5" s="8"/>
      <c r="G5" s="8"/>
      <c r="H5" s="8"/>
      <c r="I5" s="8"/>
      <c r="J5" s="8"/>
      <c r="K5" s="8"/>
      <c r="L5" s="8"/>
      <c r="M5" s="8"/>
      <c r="N5" s="8"/>
      <c r="W5" s="54" t="s">
        <v>1</v>
      </c>
    </row>
    <row r="6" spans="1:24" x14ac:dyDescent="0.3">
      <c r="A6" s="8"/>
      <c r="B6" s="8"/>
      <c r="C6" s="8"/>
      <c r="D6" s="8"/>
      <c r="E6" s="8"/>
      <c r="F6" s="8"/>
      <c r="G6" s="8"/>
      <c r="H6" s="8"/>
      <c r="I6" s="8"/>
      <c r="J6" s="8"/>
      <c r="K6" s="8"/>
      <c r="L6" s="8"/>
      <c r="M6" s="8"/>
      <c r="N6" s="8"/>
    </row>
    <row r="7" spans="1:24" ht="7.8" customHeight="1" thickBot="1" x14ac:dyDescent="0.35"/>
    <row r="8" spans="1:24" ht="15" thickBot="1" x14ac:dyDescent="0.35">
      <c r="B8" s="68" t="s">
        <v>2</v>
      </c>
      <c r="C8" s="69"/>
      <c r="D8" s="70"/>
      <c r="P8" s="11"/>
      <c r="Q8" s="11"/>
      <c r="R8" s="11"/>
      <c r="S8" s="11"/>
      <c r="T8" s="11"/>
      <c r="U8" s="11"/>
      <c r="V8" s="11"/>
      <c r="W8" s="11"/>
      <c r="X8" s="11"/>
    </row>
    <row r="9" spans="1:24" x14ac:dyDescent="0.3">
      <c r="B9" s="28" t="s">
        <v>94</v>
      </c>
      <c r="C9" s="29" t="s">
        <v>96</v>
      </c>
      <c r="D9" s="12"/>
      <c r="P9" s="11" t="s">
        <v>131</v>
      </c>
      <c r="Q9" s="11">
        <f>IF(C9="LM61495-Q1",10,IF(C9="LM61480-Q1",8,IF(C9="LM62460-Q1",6,0)))</f>
        <v>10</v>
      </c>
      <c r="R9" s="11" t="s">
        <v>4</v>
      </c>
      <c r="S9" s="11" t="str">
        <f>"=10 if LM61495, 8 if LM61480, 6 if LM62440"</f>
        <v>=10 if LM61495, 8 if LM61480, 6 if LM62440</v>
      </c>
      <c r="T9" s="11"/>
      <c r="U9" s="11"/>
      <c r="V9" s="11"/>
      <c r="W9" s="11"/>
      <c r="X9" s="11"/>
    </row>
    <row r="10" spans="1:24" ht="14.4" customHeight="1" x14ac:dyDescent="0.3">
      <c r="B10" s="28" t="s">
        <v>14</v>
      </c>
      <c r="C10" s="29">
        <v>16</v>
      </c>
      <c r="D10" s="13" t="s">
        <v>3</v>
      </c>
      <c r="G10" s="14"/>
      <c r="P10" s="11" t="s">
        <v>48</v>
      </c>
      <c r="Q10" s="55">
        <f>C13/C11</f>
        <v>0.72727272727272729</v>
      </c>
      <c r="R10" s="11" t="s">
        <v>10</v>
      </c>
      <c r="S10" s="11" t="str">
        <f>"=VOUT/VIN_NOM"</f>
        <v>=VOUT/VIN_NOM</v>
      </c>
      <c r="T10" s="11"/>
      <c r="U10" s="11"/>
      <c r="V10" s="11"/>
      <c r="W10" s="11"/>
      <c r="X10" s="11"/>
    </row>
    <row r="11" spans="1:24" x14ac:dyDescent="0.3">
      <c r="B11" s="28" t="s">
        <v>15</v>
      </c>
      <c r="C11" s="29">
        <v>22</v>
      </c>
      <c r="D11" s="13" t="s">
        <v>3</v>
      </c>
      <c r="G11" s="15"/>
      <c r="J11" s="16"/>
      <c r="P11" s="11" t="s">
        <v>47</v>
      </c>
      <c r="Q11" s="56">
        <f>(C14*C14)*(C20/1000+Q10*Q71+(1-Q10)*Q72)</f>
        <v>2.6818181818181817</v>
      </c>
      <c r="R11" s="11" t="s">
        <v>52</v>
      </c>
      <c r="S11" s="11" t="str">
        <f>"=IOUT_MAX^2*(LDCR+IDEALDUTYCYCLE*RDSON_HS+IDEALDUTYCYCLE*RDSON_LS"</f>
        <v>=IOUT_MAX^2*(LDCR+IDEALDUTYCYCLE*RDSON_HS+IDEALDUTYCYCLE*RDSON_LS</v>
      </c>
      <c r="T11" s="11"/>
      <c r="U11" s="11"/>
      <c r="V11" s="11"/>
      <c r="W11" s="11"/>
      <c r="X11" s="11"/>
    </row>
    <row r="12" spans="1:24" x14ac:dyDescent="0.3">
      <c r="B12" s="28" t="s">
        <v>16</v>
      </c>
      <c r="C12" s="29">
        <v>26</v>
      </c>
      <c r="D12" s="13" t="s">
        <v>3</v>
      </c>
      <c r="P12" s="11" t="s">
        <v>49</v>
      </c>
      <c r="Q12" s="11">
        <f>C13*C14</f>
        <v>160</v>
      </c>
      <c r="R12" s="11" t="s">
        <v>52</v>
      </c>
      <c r="S12" s="11" t="str">
        <f>"=VOUT*IOUT_MAX"</f>
        <v>=VOUT*IOUT_MAX</v>
      </c>
      <c r="T12" s="11"/>
      <c r="U12" s="11"/>
      <c r="V12" s="11"/>
      <c r="W12" s="11"/>
      <c r="X12" s="11"/>
    </row>
    <row r="13" spans="1:24" x14ac:dyDescent="0.3">
      <c r="B13" s="28" t="s">
        <v>17</v>
      </c>
      <c r="C13" s="29">
        <v>16</v>
      </c>
      <c r="D13" s="13" t="s">
        <v>3</v>
      </c>
      <c r="P13" s="11" t="s">
        <v>50</v>
      </c>
      <c r="Q13" s="56">
        <f>Q12+Q11</f>
        <v>162.68181818181819</v>
      </c>
      <c r="R13" s="11" t="s">
        <v>52</v>
      </c>
      <c r="S13" s="11" t="str">
        <f>"=POUT+PLOSS"</f>
        <v>=POUT+PLOSS</v>
      </c>
      <c r="T13" s="11"/>
      <c r="U13" s="11"/>
      <c r="V13" s="11"/>
      <c r="W13" s="11"/>
      <c r="X13" s="11"/>
    </row>
    <row r="14" spans="1:24" x14ac:dyDescent="0.3">
      <c r="B14" s="28" t="s">
        <v>18</v>
      </c>
      <c r="C14" s="29">
        <v>10</v>
      </c>
      <c r="D14" s="13" t="s">
        <v>4</v>
      </c>
      <c r="P14" s="11" t="s">
        <v>51</v>
      </c>
      <c r="Q14" s="55">
        <f>Q12/Q13</f>
        <v>0.98351494830958364</v>
      </c>
      <c r="R14" s="11" t="s">
        <v>10</v>
      </c>
      <c r="S14" s="11" t="str">
        <f>"=POUT/PIN"</f>
        <v>=POUT/PIN</v>
      </c>
      <c r="T14" s="11"/>
      <c r="U14" s="11"/>
      <c r="V14" s="11"/>
      <c r="W14" s="11"/>
      <c r="X14" s="11"/>
    </row>
    <row r="15" spans="1:24" ht="15" thickBot="1" x14ac:dyDescent="0.35">
      <c r="B15" s="30" t="s">
        <v>19</v>
      </c>
      <c r="C15" s="31">
        <v>400</v>
      </c>
      <c r="D15" s="17" t="s">
        <v>5</v>
      </c>
      <c r="P15" s="11" t="s">
        <v>54</v>
      </c>
      <c r="Q15" s="55">
        <f>C13/(C11*Q14)</f>
        <v>0.73946280991735547</v>
      </c>
      <c r="R15" s="11" t="s">
        <v>10</v>
      </c>
      <c r="S15" s="11" t="str">
        <f>"=VOUT/(VIN*EFFICIENCY)"</f>
        <v>=VOUT/(VIN*EFFICIENCY)</v>
      </c>
      <c r="T15" s="11"/>
      <c r="U15" s="11"/>
      <c r="V15" s="11"/>
      <c r="W15" s="11"/>
      <c r="X15" s="11"/>
    </row>
    <row r="16" spans="1:24" ht="15" thickBot="1" x14ac:dyDescent="0.35">
      <c r="P16" s="11" t="s">
        <v>53</v>
      </c>
      <c r="Q16" s="57">
        <f>(1/(C15*1000))*Q15</f>
        <v>1.8486570247933888E-6</v>
      </c>
      <c r="R16" s="11" t="s">
        <v>37</v>
      </c>
      <c r="S16" s="11" t="str">
        <f>"=(1/FSW_SELECTED)*DUTYCYCLE"</f>
        <v>=(1/FSW_SELECTED)*DUTYCYCLE</v>
      </c>
      <c r="T16" s="11"/>
      <c r="U16" s="11"/>
      <c r="V16" s="11"/>
      <c r="W16" s="11"/>
      <c r="X16" s="11"/>
    </row>
    <row r="17" spans="2:24" ht="15" thickBot="1" x14ac:dyDescent="0.35">
      <c r="B17" s="68" t="s">
        <v>6</v>
      </c>
      <c r="C17" s="69"/>
      <c r="D17" s="70"/>
      <c r="P17" s="11" t="s">
        <v>55</v>
      </c>
      <c r="Q17" s="57">
        <f>(1/(C15*1000))*(1-Q15)</f>
        <v>6.513429752066114E-7</v>
      </c>
      <c r="R17" s="11" t="s">
        <v>37</v>
      </c>
      <c r="S17" s="11" t="str">
        <f>"=(1/FSW_SELECTED)*(1-DUTYCYCLE)"</f>
        <v>=(1/FSW_SELECTED)*(1-DUTYCYCLE)</v>
      </c>
      <c r="T17" s="11"/>
      <c r="U17" s="11"/>
      <c r="V17" s="11"/>
      <c r="W17" s="11"/>
      <c r="X17" s="11"/>
    </row>
    <row r="18" spans="2:24" x14ac:dyDescent="0.3">
      <c r="B18" s="32" t="s">
        <v>7</v>
      </c>
      <c r="C18" s="33">
        <f>Q19*1000000</f>
        <v>3.6</v>
      </c>
      <c r="D18" s="13" t="s">
        <v>12</v>
      </c>
      <c r="P18" s="11" t="s">
        <v>56</v>
      </c>
      <c r="Q18" s="57">
        <f>(C11-C13)*(Q16/(0.3*C14))</f>
        <v>3.6973140495867776E-6</v>
      </c>
      <c r="R18" s="11" t="s">
        <v>38</v>
      </c>
      <c r="S18" s="11" t="str">
        <f>"=(VIN-VOUT)*(TON/(0.3*IOUT_MAX))"</f>
        <v>=(VIN-VOUT)*(TON/(0.3*IOUT_MAX))</v>
      </c>
      <c r="T18" s="11"/>
      <c r="U18" s="11"/>
      <c r="V18" s="11"/>
      <c r="W18" s="11"/>
      <c r="X18" s="11"/>
    </row>
    <row r="19" spans="2:24" x14ac:dyDescent="0.3">
      <c r="B19" s="28" t="s">
        <v>20</v>
      </c>
      <c r="C19" s="29">
        <v>3.5</v>
      </c>
      <c r="D19" s="13" t="s">
        <v>12</v>
      </c>
      <c r="P19" s="11" t="s">
        <v>59</v>
      </c>
      <c r="Q19" s="11">
        <f>IF(ISNUMBER(Q18),INDEX(LstdVal!$A$1:$A$769,MATCH(Q18,LstdVal!$A$1:$A$769)),Q18)</f>
        <v>3.6000000000000003E-6</v>
      </c>
      <c r="R19" s="11" t="s">
        <v>38</v>
      </c>
      <c r="S19" s="11" t="s">
        <v>60</v>
      </c>
      <c r="T19" s="11"/>
      <c r="U19" s="11"/>
      <c r="V19" s="11"/>
      <c r="W19" s="11"/>
      <c r="X19" s="11"/>
    </row>
    <row r="20" spans="2:24" x14ac:dyDescent="0.3">
      <c r="B20" s="28" t="s">
        <v>21</v>
      </c>
      <c r="C20" s="29">
        <v>9</v>
      </c>
      <c r="D20" s="13" t="s">
        <v>8</v>
      </c>
      <c r="P20" s="11" t="s">
        <v>61</v>
      </c>
      <c r="Q20" s="56">
        <f>(Q56-(Q71+Q62)*Q59-Q58)*Q15/(Q60*Q61)</f>
        <v>3.0159518890200716</v>
      </c>
      <c r="R20" s="11" t="s">
        <v>176</v>
      </c>
      <c r="S20" s="11" t="str">
        <f>"=(VIN_NOM-(RDSON_HS+LDCR)*IOUT_MAX-VOUT)*DUTYCYCLE/(FSW_SELECTED*LCHOSEN)"</f>
        <v>=(VIN_NOM-(RDSON_HS+LDCR)*IOUT_MAX-VOUT)*DUTYCYCLE/(FSW_SELECTED*LCHOSEN)</v>
      </c>
      <c r="T20" s="11"/>
      <c r="U20" s="11"/>
      <c r="V20" s="11"/>
      <c r="W20" s="11"/>
      <c r="X20" s="11"/>
    </row>
    <row r="21" spans="2:24" x14ac:dyDescent="0.3">
      <c r="B21" s="32" t="s">
        <v>9</v>
      </c>
      <c r="C21" s="33">
        <f>Q20</f>
        <v>3.0159518890200716</v>
      </c>
      <c r="D21" s="13" t="s">
        <v>39</v>
      </c>
      <c r="P21" s="11" t="s">
        <v>68</v>
      </c>
      <c r="Q21" s="55">
        <f>Q20/C14</f>
        <v>0.30159518890200715</v>
      </c>
      <c r="R21" s="11" t="s">
        <v>10</v>
      </c>
      <c r="S21" s="11" t="str">
        <f>"=ΔILPEAK-PEAK/IOUT_MAX"</f>
        <v>=ΔILPEAK-PEAK/IOUT_MAX</v>
      </c>
      <c r="T21" s="11"/>
      <c r="U21" s="11"/>
      <c r="V21" s="11"/>
      <c r="W21" s="11"/>
      <c r="X21" s="11"/>
    </row>
    <row r="22" spans="2:24" ht="15" thickBot="1" x14ac:dyDescent="0.35">
      <c r="B22" s="34" t="s">
        <v>34</v>
      </c>
      <c r="C22" s="35">
        <f>Q21*100</f>
        <v>30.159518890200715</v>
      </c>
      <c r="D22" s="17" t="s">
        <v>10</v>
      </c>
      <c r="P22" s="11" t="s">
        <v>80</v>
      </c>
      <c r="Q22" s="58">
        <f>(((Q63^2)*Q61)/((Q56-Q58)*(Q58*0.025)))</f>
        <v>1.3124999999999999E-5</v>
      </c>
      <c r="R22" s="11" t="s">
        <v>67</v>
      </c>
      <c r="S22" s="11" t="str">
        <f>"=((ISTEP_MAX^2)*LCHOSEN)/((VIN_NOM-VOUT)*(VOUT*.025))"</f>
        <v>=((ISTEP_MAX^2)*LCHOSEN)/((VIN_NOM-VOUT)*(VOUT*.025))</v>
      </c>
      <c r="T22" s="11"/>
      <c r="U22" s="11"/>
      <c r="V22" s="11"/>
      <c r="W22" s="11"/>
      <c r="X22" s="11" t="s">
        <v>81</v>
      </c>
    </row>
    <row r="23" spans="2:24" ht="15" thickBot="1" x14ac:dyDescent="0.35">
      <c r="P23" s="11" t="s">
        <v>83</v>
      </c>
      <c r="Q23" s="58">
        <f>Q20*1/(8*Q60*Q58*0.02)</f>
        <v>2.9452655166211638E-6</v>
      </c>
      <c r="R23" s="11" t="s">
        <v>67</v>
      </c>
      <c r="S23" s="11" t="str">
        <f>"=ΔILPEAK-PEAK*1/(8*FSW_SELECTED*VOUT*0.02)"</f>
        <v>=ΔILPEAK-PEAK*1/(8*FSW_SELECTED*VOUT*0.02)</v>
      </c>
      <c r="T23" s="11"/>
      <c r="U23" s="11"/>
      <c r="V23" s="11"/>
      <c r="W23" s="11"/>
      <c r="X23" s="11" t="s">
        <v>84</v>
      </c>
    </row>
    <row r="24" spans="2:24" ht="15" thickBot="1" x14ac:dyDescent="0.35">
      <c r="B24" s="68" t="s">
        <v>11</v>
      </c>
      <c r="C24" s="69"/>
      <c r="D24" s="70"/>
      <c r="P24" s="11" t="s">
        <v>82</v>
      </c>
      <c r="Q24" s="11"/>
      <c r="R24" s="11" t="s">
        <v>67</v>
      </c>
      <c r="S24" s="11"/>
      <c r="T24" s="11"/>
      <c r="U24" s="11"/>
      <c r="V24" s="11"/>
      <c r="W24" s="11"/>
      <c r="X24" s="11"/>
    </row>
    <row r="25" spans="2:24" x14ac:dyDescent="0.3">
      <c r="B25" s="36" t="s">
        <v>172</v>
      </c>
      <c r="C25" s="37">
        <v>3</v>
      </c>
      <c r="D25" s="18" t="s">
        <v>4</v>
      </c>
      <c r="P25" s="11" t="s">
        <v>112</v>
      </c>
      <c r="Q25" s="11"/>
      <c r="R25" s="11" t="s">
        <v>67</v>
      </c>
      <c r="S25" s="11"/>
      <c r="T25" s="11"/>
      <c r="U25" s="11"/>
      <c r="V25" s="11"/>
      <c r="W25" s="11"/>
      <c r="X25" s="11"/>
    </row>
    <row r="26" spans="2:24" x14ac:dyDescent="0.3">
      <c r="B26" s="32" t="s">
        <v>170</v>
      </c>
      <c r="C26" s="38">
        <f>Q33</f>
        <v>59.537206520578941</v>
      </c>
      <c r="D26" s="13" t="s">
        <v>13</v>
      </c>
      <c r="P26" s="11" t="s">
        <v>113</v>
      </c>
      <c r="Q26" s="11"/>
      <c r="R26" s="11" t="s">
        <v>67</v>
      </c>
      <c r="S26" s="11"/>
      <c r="T26" s="11"/>
      <c r="U26" s="11"/>
      <c r="V26" s="11"/>
      <c r="W26" s="11"/>
      <c r="X26" s="11"/>
    </row>
    <row r="27" spans="2:24" x14ac:dyDescent="0.3">
      <c r="B27" s="28" t="s">
        <v>24</v>
      </c>
      <c r="C27" s="29">
        <v>80</v>
      </c>
      <c r="D27" s="13" t="s">
        <v>13</v>
      </c>
      <c r="P27" s="11" t="s">
        <v>114</v>
      </c>
      <c r="Q27" s="11"/>
      <c r="R27" s="11" t="s">
        <v>67</v>
      </c>
      <c r="S27" s="11"/>
      <c r="T27" s="11"/>
      <c r="U27" s="11"/>
      <c r="V27" s="11"/>
      <c r="W27" s="11"/>
      <c r="X27" s="11"/>
    </row>
    <row r="28" spans="2:24" x14ac:dyDescent="0.3">
      <c r="B28" s="28" t="s">
        <v>173</v>
      </c>
      <c r="C28" s="29">
        <v>2.2000000000000002</v>
      </c>
      <c r="D28" s="19" t="s">
        <v>127</v>
      </c>
      <c r="P28" s="11"/>
      <c r="Q28" s="11"/>
      <c r="R28" s="11"/>
      <c r="S28" s="11"/>
      <c r="T28" s="11"/>
      <c r="U28" s="11"/>
      <c r="V28" s="11"/>
      <c r="W28" s="11"/>
      <c r="X28" s="11"/>
    </row>
    <row r="29" spans="2:24" x14ac:dyDescent="0.3">
      <c r="B29" s="32" t="s">
        <v>175</v>
      </c>
      <c r="C29" s="38">
        <f>IF(((150*(C25/Q44)/(SQRT(C15)/SQRT(400)))*(SQRT(5)/SQRT(C13)))&lt;22,"-",((150*(C25/Q44)/(SQRT(C15)/SQRT(400)))*(SQRT(5)/SQRT(C13))))</f>
        <v>25.155764746872634</v>
      </c>
      <c r="D29" s="13" t="s">
        <v>13</v>
      </c>
      <c r="P29" s="11"/>
      <c r="Q29" s="11"/>
      <c r="R29" s="11"/>
      <c r="S29" s="11"/>
      <c r="T29" s="11"/>
      <c r="U29" s="11"/>
      <c r="V29" s="11"/>
      <c r="W29" s="11"/>
      <c r="X29" s="11"/>
    </row>
    <row r="30" spans="2:24" ht="14.4" customHeight="1" thickBot="1" x14ac:dyDescent="0.35">
      <c r="B30" s="30" t="s">
        <v>171</v>
      </c>
      <c r="C30" s="31">
        <v>68</v>
      </c>
      <c r="D30" s="17" t="s">
        <v>127</v>
      </c>
      <c r="P30" s="11" t="s">
        <v>121</v>
      </c>
      <c r="Q30" s="11" t="s">
        <v>122</v>
      </c>
      <c r="R30" s="11" t="s">
        <v>127</v>
      </c>
      <c r="S30" s="11" t="s">
        <v>117</v>
      </c>
      <c r="T30" s="11"/>
      <c r="U30" s="11"/>
      <c r="V30" s="11"/>
      <c r="W30" s="11"/>
      <c r="X30" s="11" t="s">
        <v>118</v>
      </c>
    </row>
    <row r="31" spans="2:24" ht="15" thickBot="1" x14ac:dyDescent="0.35">
      <c r="P31" s="11" t="s">
        <v>115</v>
      </c>
      <c r="Q31" s="11" t="s">
        <v>123</v>
      </c>
      <c r="R31" s="11" t="s">
        <v>127</v>
      </c>
      <c r="S31" s="11" t="s">
        <v>116</v>
      </c>
      <c r="T31" s="11"/>
      <c r="U31" s="11"/>
      <c r="V31" s="11"/>
      <c r="W31" s="11"/>
      <c r="X31" s="11" t="s">
        <v>119</v>
      </c>
    </row>
    <row r="32" spans="2:24" ht="14.4" customHeight="1" thickBot="1" x14ac:dyDescent="0.35">
      <c r="B32" s="68" t="s">
        <v>22</v>
      </c>
      <c r="C32" s="69"/>
      <c r="D32" s="70"/>
      <c r="P32" s="11" t="s">
        <v>125</v>
      </c>
      <c r="Q32" s="11">
        <f>IF(Q63&gt;=3, 10*Q63,"None")</f>
        <v>30</v>
      </c>
      <c r="R32" s="11" t="s">
        <v>127</v>
      </c>
      <c r="S32" s="11" t="s">
        <v>126</v>
      </c>
      <c r="T32" s="11"/>
      <c r="U32" s="11"/>
      <c r="V32" s="11"/>
      <c r="W32" s="11"/>
      <c r="X32" s="11"/>
    </row>
    <row r="33" spans="1:24" x14ac:dyDescent="0.3">
      <c r="B33" s="39" t="s">
        <v>120</v>
      </c>
      <c r="C33" s="40" t="str">
        <f>Q30</f>
        <v>2x0.47</v>
      </c>
      <c r="D33" s="20" t="s">
        <v>13</v>
      </c>
      <c r="P33" s="11" t="s">
        <v>129</v>
      </c>
      <c r="Q33" s="59">
        <f>1776/(MIN(C13, 9)*POWER(C15,0.2))</f>
        <v>59.537206520578941</v>
      </c>
      <c r="R33" s="11" t="s">
        <v>127</v>
      </c>
      <c r="S33" s="11" t="str">
        <f>"1776 / (min(VOUT, 9)*(fsw_kHz)^0.2)"</f>
        <v>1776 / (min(VOUT, 9)*(fsw_kHz)^0.2)</v>
      </c>
      <c r="T33" s="11"/>
      <c r="U33" s="11"/>
      <c r="V33" s="11"/>
      <c r="W33" s="11"/>
      <c r="X33" s="11" t="s">
        <v>130</v>
      </c>
    </row>
    <row r="34" spans="1:24" x14ac:dyDescent="0.3">
      <c r="B34" s="32" t="s">
        <v>23</v>
      </c>
      <c r="C34" s="41" t="str">
        <f>Q31</f>
        <v>2x10</v>
      </c>
      <c r="D34" s="13" t="s">
        <v>13</v>
      </c>
      <c r="P34" s="11"/>
      <c r="Q34" s="11"/>
      <c r="R34" s="11"/>
      <c r="S34" s="11"/>
      <c r="T34" s="11"/>
      <c r="U34" s="11"/>
      <c r="V34" s="11"/>
      <c r="W34" s="11"/>
      <c r="X34" s="60"/>
    </row>
    <row r="35" spans="1:24" ht="15" thickBot="1" x14ac:dyDescent="0.35">
      <c r="B35" s="34" t="s">
        <v>124</v>
      </c>
      <c r="C35" s="42">
        <f>Q32</f>
        <v>30</v>
      </c>
      <c r="D35" s="17" t="s">
        <v>13</v>
      </c>
      <c r="P35" s="11" t="s">
        <v>164</v>
      </c>
      <c r="Q35" s="61">
        <f>-(C41*Q73)/(Q73-C40)</f>
        <v>22.608821459486364</v>
      </c>
      <c r="R35" s="11" t="s">
        <v>27</v>
      </c>
      <c r="S35" s="11"/>
      <c r="T35" s="11"/>
      <c r="U35" s="11"/>
      <c r="V35" s="11"/>
      <c r="W35" s="11"/>
      <c r="X35" s="11"/>
    </row>
    <row r="36" spans="1:24" ht="15" thickBot="1" x14ac:dyDescent="0.35">
      <c r="A36" s="71"/>
      <c r="P36" s="11" t="s">
        <v>165</v>
      </c>
      <c r="Q36" s="11">
        <f>INDEX(RstdVal!$A$1:$A$769,MATCH(Q35,RstdVal!$A$1:$A$769))</f>
        <v>22.6</v>
      </c>
      <c r="R36" s="11" t="s">
        <v>27</v>
      </c>
      <c r="S36" s="11"/>
      <c r="T36" s="11"/>
      <c r="U36" s="11"/>
      <c r="V36" s="11"/>
      <c r="W36" s="11"/>
      <c r="X36" s="11"/>
    </row>
    <row r="37" spans="1:24" ht="15" thickBot="1" x14ac:dyDescent="0.35">
      <c r="A37" s="71"/>
      <c r="B37" s="68" t="s">
        <v>128</v>
      </c>
      <c r="C37" s="69"/>
      <c r="D37" s="70"/>
      <c r="P37" s="11" t="s">
        <v>85</v>
      </c>
      <c r="Q37" s="59">
        <f>Q66*(1/(C13-1))</f>
        <v>6666.666666666667</v>
      </c>
      <c r="R37" s="11" t="s">
        <v>26</v>
      </c>
      <c r="S37" s="11"/>
      <c r="T37" s="11"/>
      <c r="U37" s="11"/>
      <c r="V37" s="11"/>
      <c r="W37" s="11"/>
      <c r="X37" s="11"/>
    </row>
    <row r="38" spans="1:24" x14ac:dyDescent="0.3">
      <c r="A38" s="71"/>
      <c r="B38" s="43" t="s">
        <v>33</v>
      </c>
      <c r="C38" s="37">
        <v>100</v>
      </c>
      <c r="D38" s="20" t="s">
        <v>27</v>
      </c>
      <c r="P38" s="11" t="s">
        <v>133</v>
      </c>
      <c r="Q38" s="11">
        <f>INDEX(RstdVal!$A$1:$A$769,MATCH(Q37,RstdVal!$A$1:$A$769))/1000</f>
        <v>6.65</v>
      </c>
      <c r="R38" s="11" t="s">
        <v>27</v>
      </c>
      <c r="S38" s="11"/>
      <c r="T38" s="11"/>
      <c r="U38" s="11"/>
      <c r="V38" s="11"/>
      <c r="W38" s="11"/>
      <c r="X38" s="11"/>
    </row>
    <row r="39" spans="1:24" x14ac:dyDescent="0.3">
      <c r="A39" s="71"/>
      <c r="B39" s="32" t="s">
        <v>25</v>
      </c>
      <c r="C39" s="44">
        <f>Q38</f>
        <v>6.65</v>
      </c>
      <c r="D39" s="13" t="s">
        <v>27</v>
      </c>
      <c r="P39" s="11" t="s">
        <v>89</v>
      </c>
      <c r="Q39" s="59">
        <f>-(Q68*Q73)/(Q73-C40)</f>
        <v>22608.821459486364</v>
      </c>
      <c r="R39" s="11" t="s">
        <v>26</v>
      </c>
      <c r="S39" s="11"/>
      <c r="T39" s="11"/>
      <c r="U39" s="11"/>
      <c r="V39" s="11"/>
      <c r="W39" s="11"/>
      <c r="X39" s="11"/>
    </row>
    <row r="40" spans="1:24" x14ac:dyDescent="0.3">
      <c r="A40" s="71"/>
      <c r="B40" s="28" t="s">
        <v>174</v>
      </c>
      <c r="C40" s="29">
        <v>5</v>
      </c>
      <c r="D40" s="13" t="s">
        <v>3</v>
      </c>
      <c r="P40" s="11" t="s">
        <v>134</v>
      </c>
      <c r="Q40" s="11">
        <f>INDEX(RstdVal!$A$1:$A$769,MATCH(Q39,RstdVal!$A$1:$A$769))/1000</f>
        <v>22.6</v>
      </c>
      <c r="R40" s="11" t="s">
        <v>27</v>
      </c>
      <c r="S40" s="11"/>
      <c r="T40" s="11"/>
      <c r="U40" s="11"/>
      <c r="V40" s="11"/>
      <c r="W40" s="11"/>
      <c r="X40" s="11"/>
    </row>
    <row r="41" spans="1:24" x14ac:dyDescent="0.3">
      <c r="B41" s="28" t="s">
        <v>151</v>
      </c>
      <c r="C41" s="29">
        <v>100</v>
      </c>
      <c r="D41" s="13" t="s">
        <v>27</v>
      </c>
      <c r="N41" s="11"/>
      <c r="O41" s="11"/>
      <c r="P41" s="11" t="s">
        <v>32</v>
      </c>
      <c r="Q41" s="61" t="str">
        <f>IF(C15=400,"Short to VCC",IF(C15=2200,"Short to GND",((16400/(C15))-0.633)))</f>
        <v>Short to VCC</v>
      </c>
      <c r="R41" s="11" t="s">
        <v>27</v>
      </c>
      <c r="S41" s="11" t="str">
        <f>"Short to GND for 400kHz, short to VCC for 2.2MHz, or =(16400/(freq(kHz) ) – 0.633) for 200kHz to 2.2MHz"</f>
        <v>Short to GND for 400kHz, short to VCC for 2.2MHz, or =(16400/(freq(kHz) ) – 0.633) for 200kHz to 2.2MHz</v>
      </c>
      <c r="T41" s="11"/>
      <c r="U41" s="11"/>
      <c r="V41" s="11"/>
      <c r="W41" s="11"/>
      <c r="X41" s="11"/>
    </row>
    <row r="42" spans="1:24" x14ac:dyDescent="0.3">
      <c r="B42" s="32" t="s">
        <v>152</v>
      </c>
      <c r="C42" s="44">
        <f>Q36</f>
        <v>22.6</v>
      </c>
      <c r="D42" s="13" t="s">
        <v>27</v>
      </c>
      <c r="N42" s="11"/>
      <c r="O42" s="11"/>
      <c r="P42" s="11" t="s">
        <v>132</v>
      </c>
      <c r="Q42" s="11" t="str">
        <f>IF(ISNUMBER(Q41),INDEX(RstdVal!$A$1:$A$769,MATCH(Q41,RstdVal!$A$1:$A$769)),Q41)</f>
        <v>Short to VCC</v>
      </c>
      <c r="R42" s="11" t="s">
        <v>27</v>
      </c>
      <c r="S42" s="11"/>
      <c r="T42" s="11"/>
      <c r="U42" s="11"/>
      <c r="V42" s="11"/>
      <c r="W42" s="11"/>
      <c r="X42" s="11"/>
    </row>
    <row r="43" spans="1:24" x14ac:dyDescent="0.3">
      <c r="B43" s="45" t="s">
        <v>32</v>
      </c>
      <c r="C43" s="46" t="str">
        <f>Q42</f>
        <v>Short to VCC</v>
      </c>
      <c r="D43" s="21" t="s">
        <v>27</v>
      </c>
      <c r="N43" s="11"/>
      <c r="O43" s="11"/>
      <c r="P43" s="11"/>
      <c r="Q43" s="11"/>
      <c r="R43" s="11"/>
      <c r="S43" s="11"/>
      <c r="T43" s="11"/>
      <c r="U43" s="11"/>
      <c r="V43" s="11"/>
      <c r="W43" s="11"/>
      <c r="X43" s="11"/>
    </row>
    <row r="44" spans="1:24" ht="14.4" customHeight="1" x14ac:dyDescent="0.3">
      <c r="B44" s="32" t="s">
        <v>28</v>
      </c>
      <c r="C44" s="41">
        <v>0</v>
      </c>
      <c r="D44" s="13" t="s">
        <v>26</v>
      </c>
      <c r="N44" s="11"/>
      <c r="O44" s="66" t="s">
        <v>111</v>
      </c>
      <c r="P44" s="11" t="s">
        <v>93</v>
      </c>
      <c r="Q44" s="11">
        <f>IF(C9=Q82, 6, IF(C9=Q83,8,IF(C9=Q84,10,"")))</f>
        <v>10</v>
      </c>
      <c r="R44" s="11" t="s">
        <v>4</v>
      </c>
      <c r="S44" s="11" t="s">
        <v>98</v>
      </c>
      <c r="T44" s="11"/>
      <c r="U44" s="11"/>
      <c r="V44" s="11"/>
      <c r="W44" s="11"/>
      <c r="X44" s="11"/>
    </row>
    <row r="45" spans="1:24" x14ac:dyDescent="0.3">
      <c r="B45" s="32" t="s">
        <v>29</v>
      </c>
      <c r="C45" s="41">
        <v>0.1</v>
      </c>
      <c r="D45" s="13" t="s">
        <v>13</v>
      </c>
      <c r="N45" s="11"/>
      <c r="O45" s="66"/>
      <c r="P45" s="11" t="s">
        <v>99</v>
      </c>
      <c r="Q45" s="56">
        <f>Q20/1.01</f>
        <v>2.9860909792277934</v>
      </c>
      <c r="R45" s="11" t="s">
        <v>4</v>
      </c>
      <c r="S45" s="11" t="s">
        <v>100</v>
      </c>
      <c r="T45" s="11"/>
      <c r="U45" s="11"/>
      <c r="V45" s="11"/>
      <c r="W45" s="11"/>
      <c r="X45" s="11"/>
    </row>
    <row r="46" spans="1:24" x14ac:dyDescent="0.3">
      <c r="B46" s="47" t="s">
        <v>30</v>
      </c>
      <c r="C46" s="48">
        <v>0.1</v>
      </c>
      <c r="D46" s="22" t="s">
        <v>13</v>
      </c>
      <c r="N46" s="11"/>
      <c r="O46" s="66"/>
      <c r="P46" s="11" t="s">
        <v>103</v>
      </c>
      <c r="Q46" s="62">
        <f>Q20-Q45</f>
        <v>2.9860909792278179E-2</v>
      </c>
      <c r="R46" s="11" t="s">
        <v>4</v>
      </c>
      <c r="S46" s="11" t="s">
        <v>101</v>
      </c>
      <c r="T46" s="11"/>
      <c r="U46" s="11"/>
      <c r="V46" s="11"/>
      <c r="W46" s="11"/>
      <c r="X46" s="11"/>
    </row>
    <row r="47" spans="1:24" x14ac:dyDescent="0.3">
      <c r="B47" s="47" t="s">
        <v>31</v>
      </c>
      <c r="C47" s="48">
        <v>1</v>
      </c>
      <c r="D47" s="22" t="s">
        <v>13</v>
      </c>
      <c r="N47" s="11"/>
      <c r="O47" s="66"/>
      <c r="P47" s="11" t="s">
        <v>102</v>
      </c>
      <c r="Q47" s="62">
        <f>(Q58/Q56)*Q44*1.7*0.36/100</f>
        <v>4.4509090909090915E-2</v>
      </c>
      <c r="R47" s="11" t="s">
        <v>3</v>
      </c>
      <c r="S47" s="11" t="str">
        <f>"=(VOUT/VIN)*IOUT_TRIM*1.7*0.36/100"</f>
        <v>=(VOUT/VIN)*IOUT_TRIM*1.7*0.36/100</v>
      </c>
      <c r="T47" s="11"/>
      <c r="U47" s="11"/>
      <c r="V47" s="11"/>
      <c r="W47" s="11"/>
      <c r="X47" s="11"/>
    </row>
    <row r="48" spans="1:24" x14ac:dyDescent="0.3">
      <c r="B48" s="49" t="s">
        <v>35</v>
      </c>
      <c r="C48" s="50" t="s">
        <v>91</v>
      </c>
      <c r="D48" s="22"/>
      <c r="N48" s="11"/>
      <c r="O48" s="66"/>
      <c r="P48" s="11" t="s">
        <v>104</v>
      </c>
      <c r="Q48" s="63">
        <f>(66/(Q44*1.7)*Q46/2)/1000000</f>
        <v>5.7965295479128231E-8</v>
      </c>
      <c r="R48" s="11" t="s">
        <v>4</v>
      </c>
      <c r="S48" s="11" t="str">
        <f>"=66/(IOUT_TRIM*1.7)*RIP_CHANGE/2"</f>
        <v>=66/(IOUT_TRIM*1.7)*RIP_CHANGE/2</v>
      </c>
      <c r="T48" s="11"/>
      <c r="U48" s="11"/>
      <c r="V48" s="11"/>
      <c r="W48" s="11"/>
      <c r="X48" s="11"/>
    </row>
    <row r="49" spans="2:24" x14ac:dyDescent="0.3">
      <c r="B49" s="32" t="s">
        <v>36</v>
      </c>
      <c r="C49" s="44">
        <f>Q51</f>
        <v>11.8</v>
      </c>
      <c r="D49" s="13" t="s">
        <v>27</v>
      </c>
      <c r="N49" s="11"/>
      <c r="O49" s="66"/>
      <c r="P49" s="11" t="s">
        <v>105</v>
      </c>
      <c r="Q49" s="63">
        <f>(66/(Q44*1.7)*Q47)/1000000</f>
        <v>1.7280000000000001E-7</v>
      </c>
      <c r="R49" s="11" t="s">
        <v>4</v>
      </c>
      <c r="S49" s="11" t="str">
        <f>"=66/(IOUT_TRIM*1.7)*SLOPE_COMP_CHANGE"</f>
        <v>=66/(IOUT_TRIM*1.7)*SLOPE_COMP_CHANGE</v>
      </c>
      <c r="T49" s="11"/>
      <c r="U49" s="11"/>
      <c r="V49" s="11"/>
      <c r="W49" s="11"/>
      <c r="X49" s="11"/>
    </row>
    <row r="50" spans="2:24" x14ac:dyDescent="0.3">
      <c r="B50" s="49" t="s">
        <v>167</v>
      </c>
      <c r="C50" s="50" t="s">
        <v>110</v>
      </c>
      <c r="D50" s="22"/>
      <c r="N50" s="11"/>
      <c r="O50" s="66"/>
      <c r="P50" s="11" t="s">
        <v>106</v>
      </c>
      <c r="Q50" s="56">
        <f>0.55/((Q48*1000000+Q49*1000000)*0.001*200)</f>
        <v>11.916869884140469</v>
      </c>
      <c r="R50" s="11" t="s">
        <v>26</v>
      </c>
      <c r="S50" s="11" t="str">
        <f>"=0.55/((REQ_V2I_OFFSET/BIT+REQ_V2I_OFFSET_FOR_SLOPE_COMP/BIT)*0.001*200)"</f>
        <v>=0.55/((REQ_V2I_OFFSET/BIT+REQ_V2I_OFFSET_FOR_SLOPE_COMP/BIT)*0.001*200)</v>
      </c>
      <c r="T50" s="11"/>
      <c r="U50" s="11"/>
      <c r="V50" s="11"/>
      <c r="W50" s="11"/>
      <c r="X50" s="11"/>
    </row>
    <row r="51" spans="2:24" x14ac:dyDescent="0.3">
      <c r="B51" s="32" t="s">
        <v>166</v>
      </c>
      <c r="C51" s="41" t="str">
        <f>IF(C50="FPWM","Short to VCC",IF(C50="PFM","Short to GND","External clock"))</f>
        <v>Short to GND</v>
      </c>
      <c r="D51" s="13"/>
      <c r="N51" s="11"/>
      <c r="O51" s="66"/>
      <c r="P51" s="11" t="s">
        <v>135</v>
      </c>
      <c r="Q51" s="11">
        <f>INDEX(RstdVal!$A$1:$A$769,MATCH(Q50,RstdVal!$A$1:$A$769))</f>
        <v>11.8</v>
      </c>
      <c r="R51" s="11" t="s">
        <v>26</v>
      </c>
      <c r="S51" s="11" t="str">
        <f>"=0.55/((REQ_V2I_OFFSET/BIT+REQ_V2I_OFFSET_FOR_SLOPE_COMP/BIT)*0.001*200)"</f>
        <v>=0.55/((REQ_V2I_OFFSET/BIT+REQ_V2I_OFFSET_FOR_SLOPE_COMP/BIT)*0.001*200)</v>
      </c>
      <c r="T51" s="11"/>
      <c r="U51" s="11"/>
      <c r="V51" s="11"/>
      <c r="W51" s="11"/>
      <c r="X51" s="11"/>
    </row>
    <row r="52" spans="2:24" ht="15" thickBot="1" x14ac:dyDescent="0.35">
      <c r="B52" s="51" t="s">
        <v>43</v>
      </c>
      <c r="C52" s="52">
        <v>100</v>
      </c>
      <c r="D52" s="23" t="s">
        <v>27</v>
      </c>
      <c r="N52" s="11"/>
      <c r="O52" s="11"/>
      <c r="P52" s="11"/>
      <c r="Q52" s="11"/>
      <c r="R52" s="11"/>
      <c r="S52" s="11"/>
      <c r="T52" s="11"/>
      <c r="U52" s="11"/>
      <c r="V52" s="11"/>
      <c r="W52" s="11"/>
      <c r="X52" s="11"/>
    </row>
    <row r="53" spans="2:24" x14ac:dyDescent="0.3">
      <c r="P53" s="11"/>
      <c r="Q53" s="11"/>
      <c r="R53" s="11"/>
      <c r="S53" s="11"/>
      <c r="T53" s="11"/>
      <c r="U53" s="11"/>
      <c r="V53" s="11"/>
      <c r="W53" s="11"/>
      <c r="X53" s="11"/>
    </row>
    <row r="54" spans="2:24" x14ac:dyDescent="0.3">
      <c r="P54" s="64" t="s">
        <v>70</v>
      </c>
      <c r="Q54" s="11"/>
      <c r="R54" s="11"/>
      <c r="S54" s="11"/>
      <c r="T54" s="11"/>
      <c r="U54" s="11"/>
      <c r="V54" s="11"/>
      <c r="W54" s="11"/>
      <c r="X54" s="11"/>
    </row>
    <row r="55" spans="2:24" x14ac:dyDescent="0.3">
      <c r="P55" s="11" t="s">
        <v>71</v>
      </c>
      <c r="Q55" s="11">
        <f>C10</f>
        <v>16</v>
      </c>
      <c r="R55" s="11" t="s">
        <v>3</v>
      </c>
      <c r="S55" s="11"/>
      <c r="T55" s="11"/>
      <c r="U55" s="11"/>
      <c r="V55" s="11"/>
      <c r="W55" s="11"/>
      <c r="X55" s="11"/>
    </row>
    <row r="56" spans="2:24" x14ac:dyDescent="0.3">
      <c r="P56" s="11" t="s">
        <v>72</v>
      </c>
      <c r="Q56" s="11">
        <f>C11</f>
        <v>22</v>
      </c>
      <c r="R56" s="11" t="s">
        <v>3</v>
      </c>
      <c r="S56" s="11"/>
      <c r="T56" s="11"/>
      <c r="U56" s="11"/>
      <c r="V56" s="11"/>
      <c r="W56" s="11"/>
      <c r="X56" s="11"/>
    </row>
    <row r="57" spans="2:24" x14ac:dyDescent="0.3">
      <c r="P57" s="11" t="s">
        <v>73</v>
      </c>
      <c r="Q57" s="11">
        <f>C12</f>
        <v>26</v>
      </c>
      <c r="R57" s="11" t="s">
        <v>3</v>
      </c>
      <c r="S57" s="11"/>
      <c r="T57" s="11"/>
      <c r="U57" s="11"/>
      <c r="V57" s="11"/>
      <c r="W57" s="11"/>
      <c r="X57" s="11"/>
    </row>
    <row r="58" spans="2:24" x14ac:dyDescent="0.3">
      <c r="P58" s="11" t="s">
        <v>74</v>
      </c>
      <c r="Q58" s="11">
        <f>C13</f>
        <v>16</v>
      </c>
      <c r="R58" s="11" t="s">
        <v>3</v>
      </c>
      <c r="S58" s="11"/>
      <c r="T58" s="11"/>
      <c r="U58" s="11"/>
      <c r="V58" s="11"/>
      <c r="W58" s="11"/>
      <c r="X58" s="11"/>
    </row>
    <row r="59" spans="2:24" x14ac:dyDescent="0.3">
      <c r="P59" s="11" t="s">
        <v>75</v>
      </c>
      <c r="Q59" s="11">
        <f>C14</f>
        <v>10</v>
      </c>
      <c r="R59" s="11" t="s">
        <v>4</v>
      </c>
      <c r="S59" s="11"/>
      <c r="T59" s="11"/>
      <c r="U59" s="11"/>
      <c r="V59" s="11"/>
      <c r="W59" s="11"/>
      <c r="X59" s="11"/>
    </row>
    <row r="60" spans="2:24" x14ac:dyDescent="0.3">
      <c r="P60" s="11" t="s">
        <v>64</v>
      </c>
      <c r="Q60" s="11">
        <f>C15*1000</f>
        <v>400000</v>
      </c>
      <c r="R60" s="11" t="s">
        <v>65</v>
      </c>
      <c r="S60" s="11" t="s">
        <v>66</v>
      </c>
      <c r="T60" s="11"/>
      <c r="U60" s="11"/>
      <c r="V60" s="11"/>
      <c r="W60" s="11"/>
      <c r="X60" s="11"/>
    </row>
    <row r="61" spans="2:24" x14ac:dyDescent="0.3">
      <c r="P61" s="11" t="s">
        <v>76</v>
      </c>
      <c r="Q61" s="11">
        <f>C19*0.000001</f>
        <v>3.4999999999999999E-6</v>
      </c>
      <c r="R61" s="11" t="s">
        <v>38</v>
      </c>
      <c r="S61" s="11"/>
      <c r="T61" s="11"/>
      <c r="U61" s="11"/>
      <c r="V61" s="11"/>
      <c r="W61" s="11"/>
      <c r="X61" s="11"/>
    </row>
    <row r="62" spans="2:24" x14ac:dyDescent="0.3">
      <c r="P62" s="11" t="s">
        <v>77</v>
      </c>
      <c r="Q62" s="11">
        <f>C20*0.001</f>
        <v>9.0000000000000011E-3</v>
      </c>
      <c r="R62" s="11" t="s">
        <v>26</v>
      </c>
      <c r="S62" s="11"/>
      <c r="T62" s="11"/>
      <c r="U62" s="11"/>
      <c r="V62" s="11"/>
      <c r="W62" s="11"/>
      <c r="X62" s="11"/>
    </row>
    <row r="63" spans="2:24" x14ac:dyDescent="0.3">
      <c r="P63" s="11" t="s">
        <v>69</v>
      </c>
      <c r="Q63" s="11">
        <f>C25</f>
        <v>3</v>
      </c>
      <c r="R63" s="11" t="s">
        <v>4</v>
      </c>
      <c r="S63" s="11"/>
      <c r="T63" s="11"/>
      <c r="U63" s="11"/>
      <c r="V63" s="11"/>
      <c r="W63" s="11"/>
      <c r="X63" s="11"/>
    </row>
    <row r="64" spans="2:24" x14ac:dyDescent="0.3">
      <c r="P64" s="11" t="s">
        <v>78</v>
      </c>
      <c r="Q64" s="11">
        <f>C27*0.000001</f>
        <v>7.9999999999999993E-5</v>
      </c>
      <c r="R64" s="11" t="s">
        <v>67</v>
      </c>
      <c r="S64" s="11"/>
      <c r="T64" s="11"/>
      <c r="U64" s="11"/>
      <c r="V64" s="11"/>
      <c r="W64" s="11"/>
      <c r="X64" s="11"/>
    </row>
    <row r="65" spans="16:24" x14ac:dyDescent="0.3">
      <c r="P65" s="11" t="s">
        <v>79</v>
      </c>
      <c r="Q65" s="11" t="e">
        <f>#REF!*0.001</f>
        <v>#REF!</v>
      </c>
      <c r="R65" s="11" t="s">
        <v>26</v>
      </c>
      <c r="S65" s="11"/>
      <c r="T65" s="11"/>
      <c r="U65" s="11"/>
      <c r="V65" s="11"/>
      <c r="W65" s="11"/>
      <c r="X65" s="11"/>
    </row>
    <row r="66" spans="16:24" x14ac:dyDescent="0.3">
      <c r="P66" s="11" t="s">
        <v>86</v>
      </c>
      <c r="Q66" s="11">
        <f>C38*1000</f>
        <v>100000</v>
      </c>
      <c r="R66" s="11" t="s">
        <v>26</v>
      </c>
      <c r="S66" s="11"/>
      <c r="T66" s="11"/>
      <c r="U66" s="11"/>
      <c r="V66" s="11"/>
      <c r="W66" s="11"/>
      <c r="X66" s="11"/>
    </row>
    <row r="67" spans="16:24" x14ac:dyDescent="0.3">
      <c r="P67" s="11" t="s">
        <v>87</v>
      </c>
      <c r="Q67" s="11">
        <f>C40</f>
        <v>5</v>
      </c>
      <c r="R67" s="11" t="s">
        <v>3</v>
      </c>
      <c r="S67" s="11"/>
      <c r="T67" s="11"/>
      <c r="U67" s="11"/>
      <c r="V67" s="11"/>
      <c r="W67" s="11"/>
      <c r="X67" s="11"/>
    </row>
    <row r="68" spans="16:24" x14ac:dyDescent="0.3">
      <c r="P68" s="11" t="s">
        <v>88</v>
      </c>
      <c r="Q68" s="11">
        <f>C41*1000</f>
        <v>100000</v>
      </c>
      <c r="R68" s="11" t="s">
        <v>26</v>
      </c>
      <c r="S68" s="11"/>
      <c r="T68" s="11"/>
      <c r="U68" s="11"/>
      <c r="V68" s="11"/>
      <c r="W68" s="11"/>
      <c r="X68" s="11"/>
    </row>
    <row r="69" spans="16:24" x14ac:dyDescent="0.3">
      <c r="P69" s="11"/>
      <c r="Q69" s="11"/>
      <c r="R69" s="11"/>
      <c r="S69" s="11"/>
      <c r="T69" s="11"/>
      <c r="U69" s="11"/>
      <c r="V69" s="11"/>
      <c r="W69" s="11"/>
      <c r="X69" s="11"/>
    </row>
    <row r="70" spans="16:24" x14ac:dyDescent="0.3">
      <c r="P70" s="64" t="s">
        <v>40</v>
      </c>
      <c r="Q70" s="11"/>
      <c r="R70" s="11"/>
      <c r="S70" s="11"/>
      <c r="T70" s="11"/>
      <c r="U70" s="11"/>
      <c r="V70" s="11"/>
      <c r="W70" s="11"/>
      <c r="X70" s="11"/>
    </row>
    <row r="71" spans="16:24" x14ac:dyDescent="0.3">
      <c r="P71" s="11" t="s">
        <v>44</v>
      </c>
      <c r="Q71" s="11">
        <v>0.02</v>
      </c>
      <c r="R71" s="11" t="s">
        <v>45</v>
      </c>
      <c r="S71" s="11" t="s">
        <v>57</v>
      </c>
      <c r="T71" s="11"/>
      <c r="U71" s="11"/>
      <c r="V71" s="11"/>
      <c r="W71" s="11"/>
      <c r="X71" s="11"/>
    </row>
    <row r="72" spans="16:24" x14ac:dyDescent="0.3">
      <c r="P72" s="11" t="s">
        <v>46</v>
      </c>
      <c r="Q72" s="11">
        <v>1.2E-2</v>
      </c>
      <c r="R72" s="11" t="s">
        <v>45</v>
      </c>
      <c r="S72" s="11" t="s">
        <v>58</v>
      </c>
      <c r="T72" s="11"/>
      <c r="U72" s="11"/>
      <c r="V72" s="11"/>
      <c r="W72" s="11"/>
      <c r="X72" s="11"/>
    </row>
    <row r="73" spans="16:24" x14ac:dyDescent="0.3">
      <c r="P73" s="11" t="s">
        <v>41</v>
      </c>
      <c r="Q73" s="11">
        <f>1.263*(1-0.27)</f>
        <v>0.92198999999999987</v>
      </c>
      <c r="R73" s="11" t="s">
        <v>3</v>
      </c>
      <c r="S73" s="11" t="s">
        <v>42</v>
      </c>
      <c r="T73" s="11"/>
      <c r="U73" s="11"/>
      <c r="V73" s="11"/>
      <c r="W73" s="11"/>
      <c r="X73" s="11"/>
    </row>
    <row r="74" spans="16:24" x14ac:dyDescent="0.3">
      <c r="P74" s="11"/>
      <c r="Q74" s="11"/>
      <c r="R74" s="11"/>
      <c r="S74" s="11"/>
      <c r="T74" s="11"/>
      <c r="U74" s="11"/>
      <c r="V74" s="11"/>
      <c r="W74" s="11"/>
      <c r="X74" s="11"/>
    </row>
    <row r="75" spans="16:24" x14ac:dyDescent="0.3">
      <c r="P75" s="11"/>
      <c r="Q75" s="11"/>
      <c r="R75" s="11"/>
      <c r="S75" s="11"/>
      <c r="T75" s="11"/>
      <c r="U75" s="11"/>
      <c r="V75" s="11"/>
      <c r="W75" s="11"/>
      <c r="X75" s="11"/>
    </row>
    <row r="76" spans="16:24" x14ac:dyDescent="0.3">
      <c r="P76" s="11" t="s">
        <v>62</v>
      </c>
      <c r="Q76" s="11">
        <v>1</v>
      </c>
      <c r="R76" s="11" t="s">
        <v>3</v>
      </c>
      <c r="S76" s="11" t="s">
        <v>63</v>
      </c>
      <c r="T76" s="11"/>
      <c r="U76" s="11"/>
      <c r="V76" s="11"/>
      <c r="W76" s="11"/>
      <c r="X76" s="11"/>
    </row>
    <row r="77" spans="16:24" x14ac:dyDescent="0.3">
      <c r="P77" s="11"/>
      <c r="Q77" s="11"/>
      <c r="R77" s="11"/>
      <c r="S77" s="11"/>
      <c r="T77" s="11"/>
      <c r="U77" s="11"/>
      <c r="V77" s="11"/>
      <c r="W77" s="11"/>
      <c r="X77" s="11"/>
    </row>
    <row r="78" spans="16:24" x14ac:dyDescent="0.3">
      <c r="P78" s="11"/>
      <c r="Q78" s="11"/>
      <c r="R78" s="11"/>
      <c r="S78" s="11"/>
      <c r="T78" s="11"/>
      <c r="U78" s="11"/>
      <c r="V78" s="11"/>
      <c r="W78" s="11"/>
      <c r="X78" s="11"/>
    </row>
    <row r="79" spans="16:24" x14ac:dyDescent="0.3">
      <c r="P79" s="11"/>
      <c r="Q79" s="11"/>
      <c r="R79" s="11"/>
      <c r="S79" s="11"/>
      <c r="T79" s="11"/>
      <c r="U79" s="11"/>
      <c r="V79" s="11"/>
      <c r="W79" s="11"/>
      <c r="X79" s="11"/>
    </row>
    <row r="80" spans="16:24" x14ac:dyDescent="0.3">
      <c r="P80" s="11"/>
      <c r="Q80" s="11"/>
      <c r="R80" s="11"/>
      <c r="S80" s="11"/>
      <c r="T80" s="11"/>
      <c r="U80" s="11"/>
      <c r="V80" s="11"/>
      <c r="W80" s="11"/>
      <c r="X80" s="11"/>
    </row>
    <row r="81" spans="16:24" x14ac:dyDescent="0.3">
      <c r="P81" s="11" t="s">
        <v>90</v>
      </c>
      <c r="Q81" s="64" t="s">
        <v>94</v>
      </c>
      <c r="R81" s="64" t="s">
        <v>35</v>
      </c>
      <c r="S81" s="64" t="s">
        <v>107</v>
      </c>
      <c r="T81" s="11"/>
      <c r="U81" s="11"/>
      <c r="V81" s="11"/>
      <c r="W81" s="11"/>
      <c r="X81" s="11"/>
    </row>
    <row r="82" spans="16:24" x14ac:dyDescent="0.3">
      <c r="P82" s="11"/>
      <c r="Q82" s="11" t="s">
        <v>97</v>
      </c>
      <c r="R82" s="11" t="s">
        <v>91</v>
      </c>
      <c r="S82" s="11" t="s">
        <v>108</v>
      </c>
      <c r="T82" s="11"/>
      <c r="U82" s="11"/>
      <c r="V82" s="11"/>
      <c r="W82" s="11"/>
      <c r="X82" s="11"/>
    </row>
    <row r="83" spans="16:24" x14ac:dyDescent="0.3">
      <c r="P83" s="11"/>
      <c r="Q83" s="11" t="s">
        <v>95</v>
      </c>
      <c r="R83" s="11" t="s">
        <v>92</v>
      </c>
      <c r="S83" s="11" t="s">
        <v>110</v>
      </c>
      <c r="T83" s="11"/>
      <c r="U83" s="11"/>
      <c r="V83" s="11"/>
      <c r="W83" s="11"/>
      <c r="X83" s="11"/>
    </row>
    <row r="84" spans="16:24" x14ac:dyDescent="0.3">
      <c r="P84" s="11"/>
      <c r="Q84" s="11" t="s">
        <v>96</v>
      </c>
      <c r="R84" s="11"/>
      <c r="S84" s="11" t="s">
        <v>109</v>
      </c>
      <c r="T84" s="11"/>
      <c r="U84" s="11"/>
      <c r="V84" s="11"/>
      <c r="W84" s="11"/>
      <c r="X84" s="11"/>
    </row>
    <row r="85" spans="16:24" x14ac:dyDescent="0.3">
      <c r="P85" s="11"/>
      <c r="Q85" s="11"/>
      <c r="R85" s="11"/>
      <c r="S85" s="11"/>
      <c r="T85" s="11"/>
      <c r="U85" s="11"/>
      <c r="V85" s="11"/>
      <c r="W85" s="11"/>
      <c r="X85" s="11"/>
    </row>
    <row r="86" spans="16:24" x14ac:dyDescent="0.3">
      <c r="P86" s="11"/>
      <c r="Q86" s="11"/>
      <c r="R86" s="11"/>
      <c r="S86" s="11"/>
      <c r="T86" s="11"/>
      <c r="U86" s="11"/>
      <c r="V86" s="11"/>
      <c r="W86" s="11"/>
      <c r="X86" s="11"/>
    </row>
    <row r="87" spans="16:24" x14ac:dyDescent="0.3">
      <c r="P87" s="11"/>
      <c r="Q87" s="11"/>
      <c r="R87" s="11"/>
      <c r="S87" s="11"/>
      <c r="T87" s="11"/>
      <c r="U87" s="11"/>
      <c r="V87" s="11"/>
      <c r="W87" s="11"/>
      <c r="X87" s="11"/>
    </row>
    <row r="88" spans="16:24" x14ac:dyDescent="0.3">
      <c r="P88" s="67" t="s">
        <v>168</v>
      </c>
      <c r="Q88" s="67"/>
      <c r="R88" s="11"/>
      <c r="S88" s="11"/>
      <c r="T88" s="11"/>
      <c r="U88" s="11"/>
      <c r="V88" s="11"/>
      <c r="W88" s="11"/>
      <c r="X88" s="11"/>
    </row>
    <row r="89" spans="16:24" x14ac:dyDescent="0.3">
      <c r="P89" s="11" t="s">
        <v>136</v>
      </c>
      <c r="Q89" s="11" t="str">
        <f>CONCATENATE("VIN = ",C11, "V")</f>
        <v>VIN = 22V</v>
      </c>
      <c r="R89" s="11"/>
      <c r="S89" s="11"/>
      <c r="T89" s="11"/>
      <c r="U89" s="11"/>
      <c r="V89" s="11"/>
      <c r="W89" s="11"/>
      <c r="X89" s="11"/>
    </row>
    <row r="90" spans="16:24" x14ac:dyDescent="0.3">
      <c r="P90" s="11" t="s">
        <v>137</v>
      </c>
      <c r="Q90" s="11" t="str">
        <f>CONCATENATE("VOUT = ",C13, "V")</f>
        <v>VOUT = 16V</v>
      </c>
      <c r="R90" s="11"/>
      <c r="S90" s="11"/>
      <c r="T90" s="11"/>
      <c r="U90" s="11"/>
      <c r="V90" s="11"/>
      <c r="W90" s="11"/>
      <c r="X90" s="11"/>
    </row>
    <row r="91" spans="16:24" x14ac:dyDescent="0.3">
      <c r="P91" s="11" t="s">
        <v>138</v>
      </c>
      <c r="Q91" s="11" t="str">
        <f>CONCATENATE("IOUT = ",C14, "A")</f>
        <v>IOUT = 10A</v>
      </c>
      <c r="R91" s="11"/>
      <c r="S91" s="11"/>
      <c r="T91" s="11"/>
      <c r="U91" s="11"/>
      <c r="V91" s="11"/>
      <c r="W91" s="11"/>
      <c r="X91" s="11"/>
    </row>
    <row r="92" spans="16:24" x14ac:dyDescent="0.3">
      <c r="P92" s="11" t="s">
        <v>139</v>
      </c>
      <c r="Q92" s="11" t="str">
        <f>CONCATENATE("FSW = ",C15, "kHz")</f>
        <v>FSW = 400kHz</v>
      </c>
      <c r="R92" s="11"/>
      <c r="S92" s="11"/>
      <c r="T92" s="11"/>
      <c r="U92" s="11"/>
      <c r="V92" s="11"/>
      <c r="W92" s="11"/>
      <c r="X92" s="11"/>
    </row>
    <row r="93" spans="16:24" x14ac:dyDescent="0.3">
      <c r="P93" s="11" t="s">
        <v>140</v>
      </c>
      <c r="Q93" s="11" t="str">
        <f>"L"</f>
        <v>L</v>
      </c>
      <c r="R93" s="11"/>
      <c r="S93" s="11"/>
      <c r="T93" s="11"/>
      <c r="U93" s="11"/>
      <c r="V93" s="11"/>
      <c r="W93" s="11"/>
      <c r="X93" s="11"/>
    </row>
    <row r="94" spans="16:24" x14ac:dyDescent="0.3">
      <c r="P94" s="11" t="s">
        <v>161</v>
      </c>
      <c r="Q94" s="11" t="str">
        <f>CONCATENATE(IF(ISNUMBER(C19),C19,C18), D19)</f>
        <v>3.5μH</v>
      </c>
      <c r="R94" s="11"/>
      <c r="S94" s="11"/>
      <c r="T94" s="11"/>
      <c r="U94" s="11"/>
      <c r="V94" s="11"/>
      <c r="W94" s="11"/>
      <c r="X94" s="11"/>
    </row>
    <row r="95" spans="16:24" x14ac:dyDescent="0.3">
      <c r="P95" s="11" t="s">
        <v>141</v>
      </c>
      <c r="Q95" s="11" t="str">
        <f>CONCATENATE("COUT_HF ", C28, "uF")</f>
        <v>COUT_HF 2.2uF</v>
      </c>
      <c r="R95" s="11"/>
      <c r="S95" s="11"/>
      <c r="T95" s="11"/>
      <c r="U95" s="11"/>
      <c r="V95" s="11"/>
      <c r="W95" s="11"/>
      <c r="X95" s="11"/>
    </row>
    <row r="96" spans="16:24" x14ac:dyDescent="0.3">
      <c r="P96" s="11" t="s">
        <v>142</v>
      </c>
      <c r="Q96" s="11" t="str">
        <f>CONCATENATE("COUT ",IF(ISNUMBER(C27),C27,ROUND(C26,0)), D26)</f>
        <v>COUT 80μF</v>
      </c>
      <c r="R96" s="11"/>
      <c r="S96" s="11"/>
      <c r="T96" s="11"/>
      <c r="U96" s="11"/>
      <c r="V96" s="11"/>
      <c r="W96" s="11"/>
      <c r="X96" s="11"/>
    </row>
    <row r="97" spans="16:24" x14ac:dyDescent="0.3">
      <c r="P97" s="11" t="s">
        <v>143</v>
      </c>
      <c r="Q97" s="11" t="str">
        <f>CONCATENATE("COUT_BULK ", C30, "uF")</f>
        <v>COUT_BULK 68uF</v>
      </c>
      <c r="R97" s="11"/>
      <c r="S97" s="11"/>
      <c r="T97" s="11"/>
      <c r="U97" s="11"/>
      <c r="V97" s="11"/>
      <c r="W97" s="11"/>
      <c r="X97" s="11"/>
    </row>
    <row r="98" spans="16:24" x14ac:dyDescent="0.3">
      <c r="P98" s="11" t="s">
        <v>144</v>
      </c>
      <c r="Q98" s="11" t="str">
        <f>CONCATENATE("CIN_HF       2x 0.47uF")</f>
        <v>CIN_HF       2x 0.47uF</v>
      </c>
      <c r="R98" s="11"/>
      <c r="S98" s="11"/>
      <c r="T98" s="11"/>
      <c r="U98" s="11"/>
      <c r="V98" s="11"/>
      <c r="W98" s="11"/>
      <c r="X98" s="11"/>
    </row>
    <row r="99" spans="16:24" x14ac:dyDescent="0.3">
      <c r="P99" s="11" t="s">
        <v>145</v>
      </c>
      <c r="Q99" s="11" t="str">
        <f>CONCATENATE("CIN       2x 10uF")</f>
        <v>CIN       2x 10uF</v>
      </c>
      <c r="R99" s="11"/>
      <c r="S99" s="11"/>
      <c r="T99" s="11"/>
      <c r="U99" s="11"/>
      <c r="V99" s="11"/>
      <c r="W99" s="11"/>
      <c r="X99" s="11"/>
    </row>
    <row r="100" spans="16:24" x14ac:dyDescent="0.3">
      <c r="P100" s="11" t="s">
        <v>146</v>
      </c>
      <c r="Q100" s="11" t="str">
        <f>CONCATENATE("CIN_BULK ",C35, "uF")</f>
        <v>CIN_BULK 30uF</v>
      </c>
      <c r="R100" s="11"/>
      <c r="S100" s="11"/>
      <c r="T100" s="11"/>
      <c r="U100" s="11"/>
      <c r="V100" s="11"/>
      <c r="W100" s="11"/>
      <c r="X100" s="11"/>
    </row>
    <row r="101" spans="16:24" x14ac:dyDescent="0.3">
      <c r="P101" s="11" t="s">
        <v>147</v>
      </c>
      <c r="Q101" s="11" t="str">
        <f>CONCATENATE("RFBT ",C38, D38)</f>
        <v>RFBT 100kΩ</v>
      </c>
      <c r="R101" s="11"/>
      <c r="S101" s="11"/>
      <c r="T101" s="11"/>
      <c r="U101" s="11"/>
      <c r="V101" s="11"/>
      <c r="W101" s="11"/>
      <c r="X101" s="11"/>
    </row>
    <row r="102" spans="16:24" x14ac:dyDescent="0.3">
      <c r="P102" s="11" t="s">
        <v>148</v>
      </c>
      <c r="Q102" s="11" t="str">
        <f>CONCATENATE("RFBB ",C39, D39)</f>
        <v>RFBB 6.65kΩ</v>
      </c>
      <c r="R102" s="11"/>
      <c r="S102" s="11"/>
      <c r="T102" s="11"/>
      <c r="U102" s="11"/>
      <c r="V102" s="11"/>
      <c r="W102" s="11"/>
      <c r="X102" s="11"/>
    </row>
    <row r="103" spans="16:24" x14ac:dyDescent="0.3">
      <c r="P103" s="11" t="s">
        <v>163</v>
      </c>
      <c r="Q103" s="11" t="str">
        <f>"CFF 10pF"</f>
        <v>CFF 10pF</v>
      </c>
      <c r="R103" s="11"/>
      <c r="S103" s="11"/>
      <c r="T103" s="11"/>
      <c r="U103" s="11"/>
      <c r="V103" s="11"/>
      <c r="W103" s="11"/>
      <c r="X103" s="11"/>
    </row>
    <row r="104" spans="16:24" x14ac:dyDescent="0.3">
      <c r="P104" s="11" t="s">
        <v>162</v>
      </c>
      <c r="Q104" s="11" t="str">
        <f>"RFF 4.99kΩ"</f>
        <v>RFF 4.99kΩ</v>
      </c>
      <c r="R104" s="11"/>
      <c r="S104" s="11"/>
      <c r="T104" s="11"/>
      <c r="U104" s="11"/>
      <c r="V104" s="11"/>
      <c r="W104" s="11"/>
      <c r="X104" s="11"/>
    </row>
    <row r="105" spans="16:24" x14ac:dyDescent="0.3">
      <c r="P105" s="11" t="s">
        <v>149</v>
      </c>
      <c r="Q105" s="11" t="str">
        <f>CONCATENATE("RENT ",C41, D41)</f>
        <v>RENT 100kΩ</v>
      </c>
      <c r="R105" s="11"/>
      <c r="S105" s="11"/>
      <c r="T105" s="11"/>
      <c r="U105" s="11"/>
      <c r="V105" s="11"/>
      <c r="W105" s="11"/>
      <c r="X105" s="11"/>
    </row>
    <row r="106" spans="16:24" x14ac:dyDescent="0.3">
      <c r="P106" s="11" t="s">
        <v>150</v>
      </c>
      <c r="Q106" s="11" t="str">
        <f>CONCATENATE("RENB ",C42, D42)</f>
        <v>RENB 22.6kΩ</v>
      </c>
      <c r="R106" s="11"/>
      <c r="S106" s="11"/>
      <c r="T106" s="11"/>
      <c r="U106" s="11"/>
      <c r="V106" s="11"/>
      <c r="W106" s="11"/>
      <c r="X106" s="11"/>
    </row>
    <row r="107" spans="16:24" x14ac:dyDescent="0.3">
      <c r="P107" s="11" t="s">
        <v>153</v>
      </c>
      <c r="Q107" s="56" t="str">
        <f>IF(ISNUMBER(C43),CONCATENATE(C43,"kΩ to GND"),C43)</f>
        <v>Short to VCC</v>
      </c>
      <c r="R107" s="11"/>
      <c r="S107" s="11"/>
      <c r="T107" s="11"/>
      <c r="U107" s="11"/>
      <c r="V107" s="11"/>
      <c r="W107" s="11"/>
      <c r="X107" s="11"/>
    </row>
    <row r="108" spans="16:24" x14ac:dyDescent="0.3">
      <c r="P108" s="11" t="s">
        <v>154</v>
      </c>
      <c r="Q108" s="11" t="str">
        <f>CONCATENATE("RBOOT ","0", D44)</f>
        <v>RBOOT 0Ω</v>
      </c>
      <c r="R108" s="11"/>
      <c r="S108" s="11"/>
      <c r="T108" s="11"/>
      <c r="U108" s="11"/>
      <c r="V108" s="11"/>
      <c r="W108" s="11"/>
      <c r="X108" s="11"/>
    </row>
    <row r="109" spans="16:24" x14ac:dyDescent="0.3">
      <c r="P109" s="11" t="s">
        <v>155</v>
      </c>
      <c r="Q109" s="11" t="str">
        <f>CONCATENATE("CBOOT ","0.1", "uF")</f>
        <v>CBOOT 0.1uF</v>
      </c>
      <c r="R109" s="11"/>
      <c r="S109" s="11"/>
      <c r="T109" s="11"/>
      <c r="U109" s="11"/>
      <c r="V109" s="11"/>
      <c r="W109" s="11"/>
      <c r="X109" s="11"/>
    </row>
    <row r="110" spans="16:24" x14ac:dyDescent="0.3">
      <c r="P110" s="11" t="s">
        <v>156</v>
      </c>
      <c r="Q110" s="11" t="str">
        <f>IF(C13&gt;12,"External supply 3.3V-12V", "VOUT")</f>
        <v>External supply 3.3V-12V</v>
      </c>
      <c r="R110" s="11"/>
      <c r="S110" s="11"/>
      <c r="T110" s="11"/>
      <c r="U110" s="11"/>
      <c r="V110" s="11"/>
      <c r="W110" s="11"/>
      <c r="X110" s="11"/>
    </row>
    <row r="111" spans="16:24" x14ac:dyDescent="0.3">
      <c r="P111" s="11" t="s">
        <v>157</v>
      </c>
      <c r="Q111" s="11" t="str">
        <f>"CVCC 1uF"</f>
        <v>CVCC 1uF</v>
      </c>
      <c r="R111" s="11"/>
      <c r="S111" s="11"/>
      <c r="T111" s="11"/>
      <c r="U111" s="11"/>
      <c r="V111" s="11"/>
      <c r="W111" s="11"/>
      <c r="X111" s="11"/>
    </row>
    <row r="112" spans="16:24" x14ac:dyDescent="0.3">
      <c r="P112" s="11" t="s">
        <v>158</v>
      </c>
      <c r="Q112" s="11" t="str">
        <f>IF(C48="Yes",CONCATENATE(C49,D49," to GND"),"Short to GND")</f>
        <v>11.8kΩ to GND</v>
      </c>
      <c r="R112" s="11"/>
      <c r="S112" s="11"/>
      <c r="T112" s="11"/>
      <c r="U112" s="11"/>
      <c r="V112" s="11"/>
      <c r="W112" s="11"/>
      <c r="X112" s="11"/>
    </row>
    <row r="113" spans="16:24" x14ac:dyDescent="0.3">
      <c r="P113" s="11" t="s">
        <v>159</v>
      </c>
      <c r="Q113" s="11" t="str">
        <f>IF(C50="FPWM","Short to VCC",IF(C50="PFM","Short to GND","External clock"))</f>
        <v>Short to GND</v>
      </c>
      <c r="R113" s="11"/>
      <c r="S113" s="11"/>
      <c r="T113" s="11"/>
      <c r="U113" s="11"/>
      <c r="V113" s="11"/>
      <c r="W113" s="11"/>
      <c r="X113" s="11"/>
    </row>
    <row r="114" spans="16:24" x14ac:dyDescent="0.3">
      <c r="P114" s="11" t="s">
        <v>160</v>
      </c>
      <c r="Q114" s="11" t="str">
        <f>IF(C13&lt;=20,"VOUT or VCC","VCC")</f>
        <v>VOUT or VCC</v>
      </c>
      <c r="R114" s="11"/>
      <c r="S114" s="11"/>
      <c r="T114" s="11"/>
      <c r="U114" s="11"/>
      <c r="V114" s="11"/>
      <c r="W114" s="11"/>
      <c r="X114" s="11"/>
    </row>
    <row r="115" spans="16:24" x14ac:dyDescent="0.3">
      <c r="P115" s="11" t="s">
        <v>156</v>
      </c>
      <c r="Q115" s="11" t="str">
        <f>CONCATENATE("CBIAS ",C46, D46)</f>
        <v>CBIAS 0.1μF</v>
      </c>
      <c r="R115" s="11"/>
      <c r="S115" s="11"/>
      <c r="T115" s="11"/>
      <c r="U115" s="11"/>
      <c r="V115" s="11"/>
      <c r="W115" s="11"/>
      <c r="X115" s="11"/>
    </row>
    <row r="116" spans="16:24" x14ac:dyDescent="0.3">
      <c r="P116" s="11"/>
      <c r="Q116" s="11"/>
      <c r="R116" s="11"/>
      <c r="S116" s="11"/>
      <c r="T116" s="11"/>
      <c r="U116" s="11"/>
      <c r="V116" s="11"/>
      <c r="W116" s="11"/>
      <c r="X116" s="11"/>
    </row>
    <row r="117" spans="16:24" x14ac:dyDescent="0.3">
      <c r="P117" s="11"/>
      <c r="Q117" s="11"/>
      <c r="R117" s="11"/>
      <c r="S117" s="11"/>
      <c r="T117" s="11"/>
      <c r="U117" s="11"/>
      <c r="V117" s="11"/>
      <c r="W117" s="11"/>
      <c r="X117" s="11"/>
    </row>
    <row r="118" spans="16:24" x14ac:dyDescent="0.3">
      <c r="P118" s="11"/>
      <c r="Q118" s="11"/>
      <c r="R118" s="11"/>
      <c r="S118" s="11"/>
      <c r="T118" s="11"/>
      <c r="U118" s="11"/>
      <c r="V118" s="11"/>
      <c r="W118" s="11"/>
      <c r="X118" s="11"/>
    </row>
    <row r="119" spans="16:24" x14ac:dyDescent="0.3">
      <c r="P119" s="11"/>
      <c r="Q119" s="11"/>
      <c r="R119" s="11"/>
      <c r="S119" s="11"/>
      <c r="T119" s="11"/>
      <c r="U119" s="11"/>
      <c r="V119" s="11"/>
      <c r="W119" s="11"/>
      <c r="X119" s="11"/>
    </row>
    <row r="120" spans="16:24" x14ac:dyDescent="0.3">
      <c r="P120" s="11"/>
      <c r="Q120" s="11"/>
      <c r="R120" s="11"/>
      <c r="S120" s="11"/>
      <c r="T120" s="11"/>
      <c r="U120" s="11"/>
      <c r="V120" s="11"/>
      <c r="W120" s="11"/>
      <c r="X120" s="11"/>
    </row>
    <row r="121" spans="16:24" x14ac:dyDescent="0.3">
      <c r="P121" s="11"/>
      <c r="Q121" s="11"/>
      <c r="R121" s="11"/>
      <c r="S121" s="11"/>
      <c r="T121" s="11"/>
      <c r="U121" s="11"/>
      <c r="V121" s="11"/>
      <c r="W121" s="11"/>
      <c r="X121" s="11"/>
    </row>
    <row r="122" spans="16:24" x14ac:dyDescent="0.3">
      <c r="P122" s="11"/>
      <c r="Q122" s="11"/>
      <c r="R122" s="11"/>
      <c r="S122" s="11"/>
      <c r="T122" s="11"/>
      <c r="U122" s="11"/>
      <c r="V122" s="11"/>
      <c r="W122" s="11"/>
      <c r="X122" s="11"/>
    </row>
    <row r="123" spans="16:24" x14ac:dyDescent="0.3">
      <c r="P123" s="11"/>
      <c r="Q123" s="11"/>
      <c r="R123" s="11"/>
      <c r="S123" s="11"/>
      <c r="T123" s="11"/>
      <c r="U123" s="11"/>
      <c r="V123" s="11"/>
      <c r="W123" s="11"/>
      <c r="X123" s="11"/>
    </row>
    <row r="124" spans="16:24" x14ac:dyDescent="0.3">
      <c r="P124" s="11"/>
      <c r="Q124" s="11"/>
      <c r="R124" s="11"/>
      <c r="S124" s="11"/>
      <c r="T124" s="11"/>
      <c r="U124" s="11"/>
      <c r="V124" s="11"/>
      <c r="W124" s="11"/>
      <c r="X124" s="11"/>
    </row>
    <row r="255" spans="2:24" x14ac:dyDescent="0.3">
      <c r="B255" s="11"/>
      <c r="C255" s="11"/>
      <c r="D255" s="11"/>
      <c r="E255" s="11"/>
      <c r="F255" s="11"/>
      <c r="G255" s="11"/>
      <c r="H255" s="11"/>
      <c r="I255" s="11"/>
      <c r="J255" s="11"/>
      <c r="K255" s="11"/>
      <c r="L255" s="11"/>
      <c r="M255" s="11"/>
      <c r="N255" s="11"/>
      <c r="O255" s="11"/>
      <c r="P255" s="11"/>
      <c r="Q255" s="11"/>
      <c r="R255" s="11"/>
      <c r="S255" s="11"/>
      <c r="T255" s="11"/>
      <c r="U255" s="11"/>
      <c r="V255" s="11"/>
      <c r="W255" s="11"/>
      <c r="X255" s="11"/>
    </row>
    <row r="256" spans="2:24" x14ac:dyDescent="0.3">
      <c r="B256" s="11"/>
      <c r="C256" s="11"/>
      <c r="D256" s="11"/>
      <c r="E256" s="11"/>
      <c r="F256" s="11"/>
      <c r="G256" s="11"/>
      <c r="H256" s="11"/>
      <c r="I256" s="11"/>
      <c r="J256" s="11"/>
      <c r="K256" s="11"/>
      <c r="L256" s="11"/>
      <c r="M256" s="11"/>
      <c r="N256" s="11"/>
      <c r="O256" s="11"/>
      <c r="P256" s="11"/>
      <c r="Q256" s="11"/>
      <c r="R256" s="11"/>
      <c r="S256" s="11"/>
      <c r="T256" s="11"/>
      <c r="U256" s="11"/>
      <c r="V256" s="11"/>
      <c r="W256" s="11"/>
      <c r="X256" s="11"/>
    </row>
    <row r="257" spans="1:24" x14ac:dyDescent="0.3">
      <c r="B257" s="11"/>
      <c r="C257" s="11"/>
      <c r="D257" s="11"/>
      <c r="E257" s="11"/>
      <c r="F257" s="11"/>
      <c r="G257" s="11"/>
      <c r="H257" s="11"/>
      <c r="I257" s="11"/>
      <c r="J257" s="11"/>
      <c r="K257" s="11"/>
      <c r="L257" s="11"/>
      <c r="M257" s="11"/>
      <c r="N257" s="11"/>
      <c r="O257" s="11"/>
      <c r="P257" s="11"/>
      <c r="Q257" s="11"/>
      <c r="R257" s="11"/>
      <c r="S257" s="11"/>
      <c r="T257" s="11"/>
      <c r="U257" s="11"/>
      <c r="V257" s="11"/>
      <c r="W257" s="11"/>
      <c r="X257" s="11"/>
    </row>
    <row r="258" spans="1:24" x14ac:dyDescent="0.3">
      <c r="B258" s="11"/>
      <c r="C258" s="11"/>
      <c r="D258" s="11"/>
      <c r="E258" s="11"/>
      <c r="F258" s="11"/>
      <c r="G258" s="11"/>
      <c r="H258" s="11"/>
      <c r="I258" s="11"/>
      <c r="J258" s="11"/>
      <c r="K258" s="11"/>
      <c r="L258" s="11"/>
      <c r="M258" s="11"/>
      <c r="N258" s="11"/>
      <c r="O258" s="11"/>
      <c r="P258" s="11"/>
      <c r="Q258" s="11"/>
      <c r="R258" s="11"/>
      <c r="S258" s="11"/>
      <c r="T258" s="11"/>
      <c r="U258" s="11"/>
      <c r="V258" s="11"/>
      <c r="W258" s="11"/>
      <c r="X258" s="11"/>
    </row>
    <row r="259" spans="1:24" x14ac:dyDescent="0.3">
      <c r="B259" s="11"/>
      <c r="C259" s="11"/>
      <c r="D259" s="11"/>
      <c r="E259" s="11"/>
      <c r="F259" s="11"/>
      <c r="G259" s="11"/>
      <c r="H259" s="11"/>
      <c r="I259" s="11"/>
      <c r="J259" s="11"/>
      <c r="K259" s="11"/>
      <c r="L259" s="11"/>
      <c r="M259" s="11"/>
      <c r="N259" s="11"/>
      <c r="O259" s="11"/>
      <c r="P259" s="11"/>
      <c r="Q259" s="11"/>
      <c r="R259" s="11"/>
      <c r="S259" s="11"/>
      <c r="T259" s="11"/>
      <c r="U259" s="11"/>
      <c r="V259" s="11"/>
      <c r="W259" s="11"/>
      <c r="X259" s="11"/>
    </row>
    <row r="260" spans="1:24" x14ac:dyDescent="0.3">
      <c r="B260" s="11"/>
      <c r="C260" s="11"/>
      <c r="D260" s="11"/>
      <c r="E260" s="11"/>
      <c r="F260" s="11"/>
      <c r="G260" s="11"/>
      <c r="H260" s="11"/>
      <c r="I260" s="11"/>
      <c r="J260" s="11"/>
      <c r="K260" s="11"/>
      <c r="L260" s="11"/>
      <c r="M260" s="11"/>
      <c r="N260" s="11"/>
      <c r="O260" s="11"/>
      <c r="P260" s="11"/>
      <c r="Q260" s="11"/>
      <c r="R260" s="11"/>
      <c r="S260" s="11"/>
      <c r="T260" s="11"/>
      <c r="U260" s="11"/>
      <c r="V260" s="11"/>
      <c r="W260" s="11"/>
      <c r="X260" s="11"/>
    </row>
    <row r="261" spans="1:24" x14ac:dyDescent="0.3">
      <c r="A261" s="24"/>
      <c r="B261" s="11"/>
      <c r="C261" s="11"/>
      <c r="D261" s="11">
        <f>E261/10</f>
        <v>1</v>
      </c>
      <c r="E261" s="11">
        <v>10</v>
      </c>
      <c r="F261" s="11">
        <f t="shared" ref="F261:K261" si="0">E261*10</f>
        <v>100</v>
      </c>
      <c r="G261" s="11">
        <f t="shared" si="0"/>
        <v>1000</v>
      </c>
      <c r="H261" s="11">
        <f t="shared" si="0"/>
        <v>10000</v>
      </c>
      <c r="I261" s="11">
        <f t="shared" si="0"/>
        <v>100000</v>
      </c>
      <c r="J261" s="11">
        <f t="shared" si="0"/>
        <v>1000000</v>
      </c>
      <c r="K261" s="11">
        <f t="shared" si="0"/>
        <v>10000000</v>
      </c>
      <c r="L261" s="11"/>
      <c r="M261" s="11"/>
      <c r="N261" s="11"/>
      <c r="O261" s="11"/>
      <c r="P261" s="11"/>
      <c r="Q261" s="11"/>
      <c r="R261" s="11"/>
      <c r="S261" s="11"/>
      <c r="T261" s="11"/>
      <c r="U261" s="11"/>
      <c r="V261" s="11"/>
      <c r="W261" s="11"/>
      <c r="X261" s="11"/>
    </row>
    <row r="262" spans="1:24" x14ac:dyDescent="0.3">
      <c r="A262" s="24"/>
      <c r="B262" s="11"/>
      <c r="C262" s="11"/>
      <c r="D262" s="11">
        <f t="shared" ref="D262:D325" si="1">E262/10</f>
        <v>1.02</v>
      </c>
      <c r="E262" s="11">
        <v>10.199999999999999</v>
      </c>
      <c r="F262" s="11">
        <f t="shared" ref="F262:K262" si="2">E262*10</f>
        <v>102</v>
      </c>
      <c r="G262" s="11">
        <f t="shared" si="2"/>
        <v>1020</v>
      </c>
      <c r="H262" s="11">
        <f t="shared" si="2"/>
        <v>10200</v>
      </c>
      <c r="I262" s="11">
        <f t="shared" si="2"/>
        <v>102000</v>
      </c>
      <c r="J262" s="11">
        <f t="shared" si="2"/>
        <v>1020000</v>
      </c>
      <c r="K262" s="11">
        <f t="shared" si="2"/>
        <v>10200000</v>
      </c>
      <c r="L262" s="11"/>
      <c r="M262" s="11"/>
      <c r="N262" s="11"/>
      <c r="O262" s="11"/>
      <c r="P262" s="11"/>
      <c r="Q262" s="11"/>
      <c r="R262" s="11"/>
      <c r="S262" s="11"/>
      <c r="T262" s="11"/>
      <c r="U262" s="11"/>
      <c r="V262" s="11"/>
      <c r="W262" s="11"/>
      <c r="X262" s="11"/>
    </row>
    <row r="263" spans="1:24" x14ac:dyDescent="0.3">
      <c r="A263" s="24"/>
      <c r="B263" s="11"/>
      <c r="C263" s="11"/>
      <c r="D263" s="11">
        <f t="shared" si="1"/>
        <v>1.05</v>
      </c>
      <c r="E263" s="11">
        <v>10.5</v>
      </c>
      <c r="F263" s="11">
        <f t="shared" ref="F263:K263" si="3">E263*10</f>
        <v>105</v>
      </c>
      <c r="G263" s="11">
        <f t="shared" si="3"/>
        <v>1050</v>
      </c>
      <c r="H263" s="11">
        <f t="shared" si="3"/>
        <v>10500</v>
      </c>
      <c r="I263" s="11">
        <f t="shared" si="3"/>
        <v>105000</v>
      </c>
      <c r="J263" s="11">
        <f t="shared" si="3"/>
        <v>1050000</v>
      </c>
      <c r="K263" s="11">
        <f t="shared" si="3"/>
        <v>10500000</v>
      </c>
      <c r="L263" s="11"/>
      <c r="M263" s="11"/>
      <c r="N263" s="11"/>
      <c r="O263" s="11"/>
      <c r="P263" s="11"/>
      <c r="Q263" s="11"/>
      <c r="R263" s="11"/>
      <c r="S263" s="11"/>
      <c r="T263" s="11"/>
      <c r="U263" s="11"/>
      <c r="V263" s="11"/>
      <c r="W263" s="11"/>
      <c r="X263" s="11"/>
    </row>
    <row r="264" spans="1:24" x14ac:dyDescent="0.3">
      <c r="A264" s="24"/>
      <c r="B264" s="11"/>
      <c r="C264" s="11"/>
      <c r="D264" s="11">
        <f t="shared" si="1"/>
        <v>1.0699999999999998</v>
      </c>
      <c r="E264" s="11">
        <v>10.7</v>
      </c>
      <c r="F264" s="11">
        <f t="shared" ref="F264:K264" si="4">E264*10</f>
        <v>107</v>
      </c>
      <c r="G264" s="11">
        <f t="shared" si="4"/>
        <v>1070</v>
      </c>
      <c r="H264" s="11">
        <f t="shared" si="4"/>
        <v>10700</v>
      </c>
      <c r="I264" s="11">
        <f t="shared" si="4"/>
        <v>107000</v>
      </c>
      <c r="J264" s="11">
        <f t="shared" si="4"/>
        <v>1070000</v>
      </c>
      <c r="K264" s="11">
        <f t="shared" si="4"/>
        <v>10700000</v>
      </c>
      <c r="L264" s="11"/>
      <c r="M264" s="11"/>
      <c r="N264" s="11"/>
      <c r="O264" s="11"/>
      <c r="P264" s="11"/>
      <c r="Q264" s="11"/>
      <c r="R264" s="11"/>
      <c r="S264" s="11"/>
      <c r="T264" s="11"/>
      <c r="U264" s="11"/>
      <c r="V264" s="11"/>
      <c r="W264" s="11"/>
      <c r="X264" s="11"/>
    </row>
    <row r="265" spans="1:24" x14ac:dyDescent="0.3">
      <c r="A265" s="24"/>
      <c r="B265" s="11"/>
      <c r="C265" s="11"/>
      <c r="D265" s="11">
        <f t="shared" si="1"/>
        <v>1.1000000000000001</v>
      </c>
      <c r="E265" s="11">
        <v>11</v>
      </c>
      <c r="F265" s="11">
        <f t="shared" ref="F265:K265" si="5">E265*10</f>
        <v>110</v>
      </c>
      <c r="G265" s="11">
        <f t="shared" si="5"/>
        <v>1100</v>
      </c>
      <c r="H265" s="11">
        <f t="shared" si="5"/>
        <v>11000</v>
      </c>
      <c r="I265" s="11">
        <f t="shared" si="5"/>
        <v>110000</v>
      </c>
      <c r="J265" s="11">
        <f t="shared" si="5"/>
        <v>1100000</v>
      </c>
      <c r="K265" s="11">
        <f t="shared" si="5"/>
        <v>11000000</v>
      </c>
      <c r="L265" s="11"/>
      <c r="M265" s="11"/>
      <c r="N265" s="11"/>
      <c r="O265" s="11"/>
      <c r="P265" s="11"/>
      <c r="Q265" s="11"/>
      <c r="R265" s="11"/>
      <c r="S265" s="11"/>
      <c r="T265" s="11"/>
      <c r="U265" s="11"/>
      <c r="V265" s="11"/>
      <c r="W265" s="11"/>
      <c r="X265" s="11"/>
    </row>
    <row r="266" spans="1:24" x14ac:dyDescent="0.3">
      <c r="A266" s="24"/>
      <c r="B266" s="11"/>
      <c r="C266" s="11"/>
      <c r="D266" s="11">
        <f t="shared" si="1"/>
        <v>1.1300000000000001</v>
      </c>
      <c r="E266" s="11">
        <v>11.3</v>
      </c>
      <c r="F266" s="11">
        <f t="shared" ref="F266:K266" si="6">E266*10</f>
        <v>113</v>
      </c>
      <c r="G266" s="11">
        <f t="shared" si="6"/>
        <v>1130</v>
      </c>
      <c r="H266" s="11">
        <f t="shared" si="6"/>
        <v>11300</v>
      </c>
      <c r="I266" s="11">
        <f t="shared" si="6"/>
        <v>113000</v>
      </c>
      <c r="J266" s="11">
        <f t="shared" si="6"/>
        <v>1130000</v>
      </c>
      <c r="K266" s="11">
        <f t="shared" si="6"/>
        <v>11300000</v>
      </c>
      <c r="L266" s="11"/>
      <c r="M266" s="11"/>
      <c r="N266" s="11"/>
      <c r="O266" s="11"/>
      <c r="P266" s="11"/>
      <c r="Q266" s="11"/>
      <c r="R266" s="11"/>
      <c r="S266" s="11"/>
      <c r="T266" s="11"/>
      <c r="U266" s="11"/>
      <c r="V266" s="11"/>
      <c r="W266" s="11"/>
      <c r="X266" s="11"/>
    </row>
    <row r="267" spans="1:24" x14ac:dyDescent="0.3">
      <c r="A267" s="24"/>
      <c r="B267" s="11"/>
      <c r="C267" s="11"/>
      <c r="D267" s="11">
        <f t="shared" si="1"/>
        <v>1.1499999999999999</v>
      </c>
      <c r="E267" s="11">
        <v>11.5</v>
      </c>
      <c r="F267" s="11">
        <f t="shared" ref="F267:K267" si="7">E267*10</f>
        <v>115</v>
      </c>
      <c r="G267" s="11">
        <f t="shared" si="7"/>
        <v>1150</v>
      </c>
      <c r="H267" s="11">
        <f t="shared" si="7"/>
        <v>11500</v>
      </c>
      <c r="I267" s="11">
        <f t="shared" si="7"/>
        <v>115000</v>
      </c>
      <c r="J267" s="11">
        <f t="shared" si="7"/>
        <v>1150000</v>
      </c>
      <c r="K267" s="11">
        <f t="shared" si="7"/>
        <v>11500000</v>
      </c>
      <c r="L267" s="11"/>
      <c r="M267" s="11"/>
      <c r="N267" s="11"/>
      <c r="O267" s="11"/>
      <c r="P267" s="11"/>
      <c r="Q267" s="11"/>
      <c r="R267" s="11"/>
      <c r="S267" s="11"/>
      <c r="T267" s="11"/>
      <c r="U267" s="11"/>
      <c r="V267" s="11"/>
      <c r="W267" s="11"/>
      <c r="X267" s="11"/>
    </row>
    <row r="268" spans="1:24" x14ac:dyDescent="0.3">
      <c r="A268" s="24"/>
      <c r="B268" s="11"/>
      <c r="C268" s="11"/>
      <c r="D268" s="11">
        <f t="shared" si="1"/>
        <v>1.1800000000000002</v>
      </c>
      <c r="E268" s="11">
        <v>11.8</v>
      </c>
      <c r="F268" s="11">
        <f t="shared" ref="F268:K268" si="8">E268*10</f>
        <v>118</v>
      </c>
      <c r="G268" s="11">
        <f t="shared" si="8"/>
        <v>1180</v>
      </c>
      <c r="H268" s="11">
        <f t="shared" si="8"/>
        <v>11800</v>
      </c>
      <c r="I268" s="11">
        <f t="shared" si="8"/>
        <v>118000</v>
      </c>
      <c r="J268" s="11">
        <f t="shared" si="8"/>
        <v>1180000</v>
      </c>
      <c r="K268" s="11">
        <f t="shared" si="8"/>
        <v>11800000</v>
      </c>
      <c r="L268" s="11"/>
      <c r="M268" s="11"/>
      <c r="N268" s="11"/>
      <c r="O268" s="11"/>
      <c r="P268" s="11"/>
      <c r="Q268" s="11"/>
      <c r="R268" s="11"/>
      <c r="S268" s="11"/>
      <c r="T268" s="11"/>
      <c r="U268" s="11"/>
      <c r="V268" s="11"/>
      <c r="W268" s="11"/>
      <c r="X268" s="11"/>
    </row>
    <row r="269" spans="1:24" x14ac:dyDescent="0.3">
      <c r="A269" s="24"/>
      <c r="B269" s="11"/>
      <c r="C269" s="11"/>
      <c r="D269" s="11">
        <f t="shared" si="1"/>
        <v>1.21</v>
      </c>
      <c r="E269" s="11">
        <v>12.1</v>
      </c>
      <c r="F269" s="11">
        <f t="shared" ref="F269:K269" si="9">E269*10</f>
        <v>121</v>
      </c>
      <c r="G269" s="11">
        <f t="shared" si="9"/>
        <v>1210</v>
      </c>
      <c r="H269" s="11">
        <f t="shared" si="9"/>
        <v>12100</v>
      </c>
      <c r="I269" s="11">
        <f t="shared" si="9"/>
        <v>121000</v>
      </c>
      <c r="J269" s="11">
        <f t="shared" si="9"/>
        <v>1210000</v>
      </c>
      <c r="K269" s="11">
        <f t="shared" si="9"/>
        <v>12100000</v>
      </c>
      <c r="L269" s="11"/>
      <c r="M269" s="11"/>
      <c r="N269" s="11"/>
      <c r="O269" s="11"/>
      <c r="P269" s="11"/>
      <c r="Q269" s="11"/>
      <c r="R269" s="11"/>
      <c r="S269" s="11"/>
      <c r="T269" s="11"/>
      <c r="U269" s="11"/>
      <c r="V269" s="11"/>
      <c r="W269" s="11"/>
      <c r="X269" s="11"/>
    </row>
    <row r="270" spans="1:24" x14ac:dyDescent="0.3">
      <c r="A270" s="24"/>
      <c r="B270" s="11"/>
      <c r="C270" s="11"/>
      <c r="D270" s="11">
        <f t="shared" si="1"/>
        <v>1.24</v>
      </c>
      <c r="E270" s="11">
        <v>12.4</v>
      </c>
      <c r="F270" s="11">
        <f t="shared" ref="F270:K270" si="10">E270*10</f>
        <v>124</v>
      </c>
      <c r="G270" s="11">
        <f t="shared" si="10"/>
        <v>1240</v>
      </c>
      <c r="H270" s="11">
        <f t="shared" si="10"/>
        <v>12400</v>
      </c>
      <c r="I270" s="11">
        <f t="shared" si="10"/>
        <v>124000</v>
      </c>
      <c r="J270" s="11">
        <f t="shared" si="10"/>
        <v>1240000</v>
      </c>
      <c r="K270" s="11">
        <f t="shared" si="10"/>
        <v>12400000</v>
      </c>
      <c r="L270" s="11"/>
      <c r="M270" s="11"/>
      <c r="N270" s="11"/>
      <c r="O270" s="11"/>
      <c r="P270" s="11"/>
      <c r="Q270" s="11"/>
      <c r="R270" s="11"/>
      <c r="S270" s="11"/>
      <c r="T270" s="11"/>
      <c r="U270" s="11"/>
      <c r="V270" s="11"/>
      <c r="W270" s="11"/>
      <c r="X270" s="11"/>
    </row>
    <row r="271" spans="1:24" x14ac:dyDescent="0.3">
      <c r="A271" s="24"/>
      <c r="B271" s="11"/>
      <c r="C271" s="11"/>
      <c r="D271" s="11">
        <f t="shared" si="1"/>
        <v>1.27</v>
      </c>
      <c r="E271" s="11">
        <v>12.7</v>
      </c>
      <c r="F271" s="11">
        <f t="shared" ref="F271:K271" si="11">E271*10</f>
        <v>127</v>
      </c>
      <c r="G271" s="11">
        <f t="shared" si="11"/>
        <v>1270</v>
      </c>
      <c r="H271" s="11">
        <f t="shared" si="11"/>
        <v>12700</v>
      </c>
      <c r="I271" s="11">
        <f t="shared" si="11"/>
        <v>127000</v>
      </c>
      <c r="J271" s="11">
        <f t="shared" si="11"/>
        <v>1270000</v>
      </c>
      <c r="K271" s="11">
        <f t="shared" si="11"/>
        <v>12700000</v>
      </c>
      <c r="L271" s="11"/>
      <c r="M271" s="11"/>
      <c r="N271" s="11"/>
      <c r="O271" s="11"/>
      <c r="P271" s="11"/>
      <c r="Q271" s="11"/>
      <c r="R271" s="11"/>
      <c r="S271" s="11"/>
      <c r="T271" s="11"/>
      <c r="U271" s="11"/>
      <c r="V271" s="11"/>
      <c r="W271" s="11"/>
      <c r="X271" s="11"/>
    </row>
    <row r="272" spans="1:24" x14ac:dyDescent="0.3">
      <c r="A272" s="24"/>
      <c r="B272" s="11"/>
      <c r="C272" s="11"/>
      <c r="D272" s="11">
        <f t="shared" si="1"/>
        <v>1.3</v>
      </c>
      <c r="E272" s="11">
        <v>13</v>
      </c>
      <c r="F272" s="11">
        <f t="shared" ref="F272:K272" si="12">E272*10</f>
        <v>130</v>
      </c>
      <c r="G272" s="11">
        <f t="shared" si="12"/>
        <v>1300</v>
      </c>
      <c r="H272" s="11">
        <f t="shared" si="12"/>
        <v>13000</v>
      </c>
      <c r="I272" s="11">
        <f t="shared" si="12"/>
        <v>130000</v>
      </c>
      <c r="J272" s="11">
        <f t="shared" si="12"/>
        <v>1300000</v>
      </c>
      <c r="K272" s="11">
        <f t="shared" si="12"/>
        <v>13000000</v>
      </c>
      <c r="L272" s="11"/>
      <c r="M272" s="11"/>
      <c r="N272" s="11"/>
      <c r="O272" s="11"/>
      <c r="P272" s="11"/>
      <c r="Q272" s="11"/>
      <c r="R272" s="11"/>
      <c r="S272" s="11"/>
      <c r="T272" s="11"/>
      <c r="U272" s="11"/>
      <c r="V272" s="11"/>
      <c r="W272" s="11"/>
      <c r="X272" s="11"/>
    </row>
    <row r="273" spans="1:24" x14ac:dyDescent="0.3">
      <c r="A273" s="24"/>
      <c r="B273" s="11"/>
      <c r="C273" s="11"/>
      <c r="D273" s="11">
        <f t="shared" si="1"/>
        <v>1.33</v>
      </c>
      <c r="E273" s="11">
        <v>13.3</v>
      </c>
      <c r="F273" s="11">
        <f t="shared" ref="F273:K273" si="13">E273*10</f>
        <v>133</v>
      </c>
      <c r="G273" s="11">
        <f t="shared" si="13"/>
        <v>1330</v>
      </c>
      <c r="H273" s="11">
        <f t="shared" si="13"/>
        <v>13300</v>
      </c>
      <c r="I273" s="11">
        <f t="shared" si="13"/>
        <v>133000</v>
      </c>
      <c r="J273" s="11">
        <f t="shared" si="13"/>
        <v>1330000</v>
      </c>
      <c r="K273" s="11">
        <f t="shared" si="13"/>
        <v>13300000</v>
      </c>
      <c r="L273" s="11"/>
      <c r="M273" s="11"/>
      <c r="N273" s="11"/>
      <c r="O273" s="11"/>
      <c r="P273" s="11"/>
      <c r="Q273" s="11"/>
      <c r="R273" s="11"/>
      <c r="S273" s="11"/>
      <c r="T273" s="11"/>
      <c r="U273" s="11"/>
      <c r="V273" s="11"/>
      <c r="W273" s="11"/>
      <c r="X273" s="11"/>
    </row>
    <row r="274" spans="1:24" x14ac:dyDescent="0.3">
      <c r="A274" s="24"/>
      <c r="B274" s="11"/>
      <c r="C274" s="11"/>
      <c r="D274" s="11">
        <f t="shared" si="1"/>
        <v>1.3699999999999999</v>
      </c>
      <c r="E274" s="11">
        <v>13.7</v>
      </c>
      <c r="F274" s="11">
        <f t="shared" ref="F274:K274" si="14">E274*10</f>
        <v>137</v>
      </c>
      <c r="G274" s="11">
        <f t="shared" si="14"/>
        <v>1370</v>
      </c>
      <c r="H274" s="11">
        <f t="shared" si="14"/>
        <v>13700</v>
      </c>
      <c r="I274" s="11">
        <f t="shared" si="14"/>
        <v>137000</v>
      </c>
      <c r="J274" s="11">
        <f t="shared" si="14"/>
        <v>1370000</v>
      </c>
      <c r="K274" s="11">
        <f t="shared" si="14"/>
        <v>13700000</v>
      </c>
      <c r="L274" s="11"/>
      <c r="M274" s="11"/>
      <c r="N274" s="11"/>
      <c r="O274" s="11"/>
      <c r="P274" s="11"/>
      <c r="Q274" s="11"/>
      <c r="R274" s="11"/>
      <c r="S274" s="11"/>
      <c r="T274" s="11"/>
      <c r="U274" s="11"/>
      <c r="V274" s="11"/>
      <c r="W274" s="11"/>
      <c r="X274" s="11"/>
    </row>
    <row r="275" spans="1:24" x14ac:dyDescent="0.3">
      <c r="A275" s="24"/>
      <c r="B275" s="11"/>
      <c r="C275" s="11"/>
      <c r="D275" s="11">
        <f t="shared" si="1"/>
        <v>1.4</v>
      </c>
      <c r="E275" s="11">
        <v>14</v>
      </c>
      <c r="F275" s="11">
        <f t="shared" ref="F275:K275" si="15">E275*10</f>
        <v>140</v>
      </c>
      <c r="G275" s="11">
        <f t="shared" si="15"/>
        <v>1400</v>
      </c>
      <c r="H275" s="11">
        <f t="shared" si="15"/>
        <v>14000</v>
      </c>
      <c r="I275" s="11">
        <f t="shared" si="15"/>
        <v>140000</v>
      </c>
      <c r="J275" s="11">
        <f t="shared" si="15"/>
        <v>1400000</v>
      </c>
      <c r="K275" s="11">
        <f t="shared" si="15"/>
        <v>14000000</v>
      </c>
      <c r="L275" s="11"/>
      <c r="M275" s="11"/>
      <c r="N275" s="11"/>
      <c r="O275" s="11"/>
      <c r="P275" s="11"/>
      <c r="Q275" s="11"/>
      <c r="R275" s="11"/>
      <c r="S275" s="11"/>
      <c r="T275" s="11"/>
      <c r="U275" s="11"/>
      <c r="V275" s="11"/>
      <c r="W275" s="11"/>
      <c r="X275" s="11"/>
    </row>
    <row r="276" spans="1:24" x14ac:dyDescent="0.3">
      <c r="A276" s="24"/>
      <c r="B276" s="11"/>
      <c r="C276" s="11"/>
      <c r="D276" s="11">
        <f t="shared" si="1"/>
        <v>1.4300000000000002</v>
      </c>
      <c r="E276" s="11">
        <v>14.3</v>
      </c>
      <c r="F276" s="11">
        <f t="shared" ref="F276:K276" si="16">E276*10</f>
        <v>143</v>
      </c>
      <c r="G276" s="11">
        <f t="shared" si="16"/>
        <v>1430</v>
      </c>
      <c r="H276" s="11">
        <f t="shared" si="16"/>
        <v>14300</v>
      </c>
      <c r="I276" s="11">
        <f t="shared" si="16"/>
        <v>143000</v>
      </c>
      <c r="J276" s="11">
        <f t="shared" si="16"/>
        <v>1430000</v>
      </c>
      <c r="K276" s="11">
        <f t="shared" si="16"/>
        <v>14300000</v>
      </c>
      <c r="L276" s="11"/>
      <c r="M276" s="11"/>
      <c r="N276" s="11"/>
      <c r="O276" s="11"/>
      <c r="P276" s="11"/>
      <c r="Q276" s="11"/>
      <c r="R276" s="11"/>
      <c r="S276" s="11"/>
      <c r="T276" s="11"/>
      <c r="U276" s="11"/>
      <c r="V276" s="11"/>
      <c r="W276" s="11"/>
      <c r="X276" s="11"/>
    </row>
    <row r="277" spans="1:24" x14ac:dyDescent="0.3">
      <c r="A277" s="24"/>
      <c r="B277" s="11"/>
      <c r="C277" s="11"/>
      <c r="D277" s="11">
        <f t="shared" si="1"/>
        <v>1.47</v>
      </c>
      <c r="E277" s="11">
        <v>14.7</v>
      </c>
      <c r="F277" s="11">
        <f t="shared" ref="F277:K277" si="17">E277*10</f>
        <v>147</v>
      </c>
      <c r="G277" s="11">
        <f t="shared" si="17"/>
        <v>1470</v>
      </c>
      <c r="H277" s="11">
        <f t="shared" si="17"/>
        <v>14700</v>
      </c>
      <c r="I277" s="11">
        <f t="shared" si="17"/>
        <v>147000</v>
      </c>
      <c r="J277" s="11">
        <f t="shared" si="17"/>
        <v>1470000</v>
      </c>
      <c r="K277" s="11">
        <f t="shared" si="17"/>
        <v>14700000</v>
      </c>
      <c r="L277" s="11"/>
      <c r="M277" s="11"/>
      <c r="N277" s="11"/>
      <c r="O277" s="11"/>
      <c r="P277" s="11"/>
      <c r="Q277" s="11"/>
      <c r="R277" s="11"/>
      <c r="S277" s="11"/>
      <c r="T277" s="11"/>
      <c r="U277" s="11"/>
      <c r="V277" s="11"/>
      <c r="W277" s="11"/>
      <c r="X277" s="11"/>
    </row>
    <row r="278" spans="1:24" x14ac:dyDescent="0.3">
      <c r="A278" s="24"/>
      <c r="B278" s="11"/>
      <c r="C278" s="11"/>
      <c r="D278" s="11">
        <f t="shared" si="1"/>
        <v>1.5</v>
      </c>
      <c r="E278" s="11">
        <v>15</v>
      </c>
      <c r="F278" s="11">
        <f t="shared" ref="F278:K278" si="18">E278*10</f>
        <v>150</v>
      </c>
      <c r="G278" s="11">
        <f t="shared" si="18"/>
        <v>1500</v>
      </c>
      <c r="H278" s="11">
        <f t="shared" si="18"/>
        <v>15000</v>
      </c>
      <c r="I278" s="11">
        <f t="shared" si="18"/>
        <v>150000</v>
      </c>
      <c r="J278" s="11">
        <f t="shared" si="18"/>
        <v>1500000</v>
      </c>
      <c r="K278" s="11">
        <f t="shared" si="18"/>
        <v>15000000</v>
      </c>
      <c r="L278" s="11"/>
      <c r="M278" s="11"/>
      <c r="N278" s="11"/>
      <c r="O278" s="11"/>
      <c r="P278" s="11"/>
      <c r="Q278" s="11"/>
      <c r="R278" s="11"/>
      <c r="S278" s="11"/>
      <c r="T278" s="11"/>
      <c r="U278" s="11"/>
      <c r="V278" s="11"/>
      <c r="W278" s="11"/>
      <c r="X278" s="11"/>
    </row>
    <row r="279" spans="1:24" x14ac:dyDescent="0.3">
      <c r="A279" s="24"/>
      <c r="B279" s="11"/>
      <c r="C279" s="11"/>
      <c r="D279" s="11">
        <f t="shared" si="1"/>
        <v>1.54</v>
      </c>
      <c r="E279" s="11">
        <v>15.4</v>
      </c>
      <c r="F279" s="11">
        <f t="shared" ref="F279:K279" si="19">E279*10</f>
        <v>154</v>
      </c>
      <c r="G279" s="11">
        <f t="shared" si="19"/>
        <v>1540</v>
      </c>
      <c r="H279" s="11">
        <f t="shared" si="19"/>
        <v>15400</v>
      </c>
      <c r="I279" s="11">
        <f t="shared" si="19"/>
        <v>154000</v>
      </c>
      <c r="J279" s="11">
        <f t="shared" si="19"/>
        <v>1540000</v>
      </c>
      <c r="K279" s="11">
        <f t="shared" si="19"/>
        <v>15400000</v>
      </c>
      <c r="L279" s="11"/>
      <c r="M279" s="11"/>
      <c r="N279" s="11"/>
      <c r="O279" s="11"/>
      <c r="P279" s="11"/>
      <c r="Q279" s="11"/>
      <c r="R279" s="11"/>
      <c r="S279" s="11"/>
      <c r="T279" s="11"/>
      <c r="U279" s="11"/>
      <c r="V279" s="11"/>
      <c r="W279" s="11"/>
      <c r="X279" s="11"/>
    </row>
    <row r="280" spans="1:24" x14ac:dyDescent="0.3">
      <c r="A280" s="24"/>
      <c r="B280" s="11"/>
      <c r="C280" s="11"/>
      <c r="D280" s="11">
        <f t="shared" si="1"/>
        <v>1.58</v>
      </c>
      <c r="E280" s="11">
        <v>15.8</v>
      </c>
      <c r="F280" s="11">
        <f t="shared" ref="F280:K280" si="20">E280*10</f>
        <v>158</v>
      </c>
      <c r="G280" s="11">
        <f t="shared" si="20"/>
        <v>1580</v>
      </c>
      <c r="H280" s="11">
        <f t="shared" si="20"/>
        <v>15800</v>
      </c>
      <c r="I280" s="11">
        <f t="shared" si="20"/>
        <v>158000</v>
      </c>
      <c r="J280" s="11">
        <f t="shared" si="20"/>
        <v>1580000</v>
      </c>
      <c r="K280" s="11">
        <f t="shared" si="20"/>
        <v>15800000</v>
      </c>
      <c r="L280" s="11"/>
      <c r="M280" s="11"/>
      <c r="N280" s="11"/>
      <c r="O280" s="11"/>
      <c r="P280" s="11"/>
      <c r="Q280" s="11"/>
      <c r="R280" s="11"/>
      <c r="S280" s="11"/>
      <c r="T280" s="11"/>
      <c r="U280" s="11"/>
      <c r="V280" s="11"/>
      <c r="W280" s="11"/>
      <c r="X280" s="11"/>
    </row>
    <row r="281" spans="1:24" x14ac:dyDescent="0.3">
      <c r="A281" s="24"/>
      <c r="B281" s="11"/>
      <c r="C281" s="11"/>
      <c r="D281" s="11">
        <f t="shared" si="1"/>
        <v>1.6199999999999999</v>
      </c>
      <c r="E281" s="11">
        <v>16.2</v>
      </c>
      <c r="F281" s="11">
        <f t="shared" ref="F281:K281" si="21">E281*10</f>
        <v>162</v>
      </c>
      <c r="G281" s="11">
        <f t="shared" si="21"/>
        <v>1620</v>
      </c>
      <c r="H281" s="11">
        <f t="shared" si="21"/>
        <v>16200</v>
      </c>
      <c r="I281" s="11">
        <f t="shared" si="21"/>
        <v>162000</v>
      </c>
      <c r="J281" s="11">
        <f t="shared" si="21"/>
        <v>1620000</v>
      </c>
      <c r="K281" s="11">
        <f t="shared" si="21"/>
        <v>16200000</v>
      </c>
      <c r="L281" s="11"/>
      <c r="M281" s="11"/>
      <c r="N281" s="11"/>
      <c r="O281" s="11"/>
      <c r="P281" s="11"/>
      <c r="Q281" s="11"/>
      <c r="R281" s="11"/>
      <c r="S281" s="11"/>
      <c r="T281" s="11"/>
      <c r="U281" s="11"/>
      <c r="V281" s="11"/>
      <c r="W281" s="11"/>
      <c r="X281" s="11"/>
    </row>
    <row r="282" spans="1:24" x14ac:dyDescent="0.3">
      <c r="A282" s="24"/>
      <c r="B282" s="11"/>
      <c r="C282" s="11"/>
      <c r="D282" s="11">
        <f t="shared" si="1"/>
        <v>1.65</v>
      </c>
      <c r="E282" s="11">
        <v>16.5</v>
      </c>
      <c r="F282" s="11">
        <f t="shared" ref="F282:K282" si="22">E282*10</f>
        <v>165</v>
      </c>
      <c r="G282" s="11">
        <f t="shared" si="22"/>
        <v>1650</v>
      </c>
      <c r="H282" s="11">
        <f t="shared" si="22"/>
        <v>16500</v>
      </c>
      <c r="I282" s="11">
        <f t="shared" si="22"/>
        <v>165000</v>
      </c>
      <c r="J282" s="11">
        <f t="shared" si="22"/>
        <v>1650000</v>
      </c>
      <c r="K282" s="11">
        <f t="shared" si="22"/>
        <v>16500000</v>
      </c>
      <c r="L282" s="11"/>
      <c r="M282" s="11"/>
      <c r="N282" s="11"/>
      <c r="O282" s="11"/>
      <c r="P282" s="11"/>
      <c r="Q282" s="11"/>
      <c r="R282" s="11"/>
      <c r="S282" s="11"/>
      <c r="T282" s="11"/>
      <c r="U282" s="11"/>
      <c r="V282" s="11"/>
      <c r="W282" s="11"/>
      <c r="X282" s="11"/>
    </row>
    <row r="283" spans="1:24" x14ac:dyDescent="0.3">
      <c r="A283" s="24"/>
      <c r="B283" s="11"/>
      <c r="C283" s="11"/>
      <c r="D283" s="11">
        <f t="shared" si="1"/>
        <v>1.69</v>
      </c>
      <c r="E283" s="11">
        <v>16.899999999999999</v>
      </c>
      <c r="F283" s="11">
        <f t="shared" ref="F283:K283" si="23">E283*10</f>
        <v>169</v>
      </c>
      <c r="G283" s="11">
        <f t="shared" si="23"/>
        <v>1690</v>
      </c>
      <c r="H283" s="11">
        <f t="shared" si="23"/>
        <v>16900</v>
      </c>
      <c r="I283" s="11">
        <f t="shared" si="23"/>
        <v>169000</v>
      </c>
      <c r="J283" s="11">
        <f t="shared" si="23"/>
        <v>1690000</v>
      </c>
      <c r="K283" s="11">
        <f t="shared" si="23"/>
        <v>16900000</v>
      </c>
      <c r="L283" s="11"/>
      <c r="M283" s="11"/>
      <c r="N283" s="11"/>
      <c r="O283" s="11"/>
      <c r="P283" s="11"/>
      <c r="Q283" s="11"/>
      <c r="R283" s="11"/>
      <c r="S283" s="11"/>
      <c r="T283" s="11"/>
      <c r="U283" s="11"/>
      <c r="V283" s="11"/>
      <c r="W283" s="11"/>
      <c r="X283" s="11"/>
    </row>
    <row r="284" spans="1:24" x14ac:dyDescent="0.3">
      <c r="A284" s="24"/>
      <c r="B284" s="11"/>
      <c r="C284" s="11"/>
      <c r="D284" s="11">
        <f t="shared" si="1"/>
        <v>1.7399999999999998</v>
      </c>
      <c r="E284" s="11">
        <v>17.399999999999999</v>
      </c>
      <c r="F284" s="11">
        <f t="shared" ref="F284:K284" si="24">E284*10</f>
        <v>174</v>
      </c>
      <c r="G284" s="11">
        <f t="shared" si="24"/>
        <v>1740</v>
      </c>
      <c r="H284" s="11">
        <f t="shared" si="24"/>
        <v>17400</v>
      </c>
      <c r="I284" s="11">
        <f t="shared" si="24"/>
        <v>174000</v>
      </c>
      <c r="J284" s="11">
        <f t="shared" si="24"/>
        <v>1740000</v>
      </c>
      <c r="K284" s="11">
        <f t="shared" si="24"/>
        <v>17400000</v>
      </c>
      <c r="L284" s="11"/>
      <c r="M284" s="11"/>
      <c r="N284" s="11"/>
      <c r="O284" s="11"/>
      <c r="P284" s="11"/>
      <c r="Q284" s="11"/>
      <c r="R284" s="11"/>
      <c r="S284" s="11"/>
      <c r="T284" s="11"/>
      <c r="U284" s="11"/>
      <c r="V284" s="11"/>
      <c r="W284" s="11"/>
      <c r="X284" s="11"/>
    </row>
    <row r="285" spans="1:24" x14ac:dyDescent="0.3">
      <c r="A285" s="24"/>
      <c r="B285" s="11"/>
      <c r="C285" s="11"/>
      <c r="D285" s="11">
        <f t="shared" si="1"/>
        <v>1.78</v>
      </c>
      <c r="E285" s="11">
        <v>17.8</v>
      </c>
      <c r="F285" s="11">
        <f t="shared" ref="F285:K285" si="25">E285*10</f>
        <v>178</v>
      </c>
      <c r="G285" s="11">
        <f t="shared" si="25"/>
        <v>1780</v>
      </c>
      <c r="H285" s="11">
        <f t="shared" si="25"/>
        <v>17800</v>
      </c>
      <c r="I285" s="11">
        <f t="shared" si="25"/>
        <v>178000</v>
      </c>
      <c r="J285" s="11">
        <f t="shared" si="25"/>
        <v>1780000</v>
      </c>
      <c r="K285" s="11">
        <f t="shared" si="25"/>
        <v>17800000</v>
      </c>
      <c r="L285" s="11"/>
      <c r="M285" s="11"/>
      <c r="N285" s="11"/>
      <c r="O285" s="11"/>
      <c r="P285" s="11"/>
      <c r="Q285" s="11"/>
      <c r="R285" s="11"/>
      <c r="S285" s="11"/>
      <c r="T285" s="11"/>
      <c r="U285" s="11"/>
      <c r="V285" s="11"/>
      <c r="W285" s="11"/>
      <c r="X285" s="11"/>
    </row>
    <row r="286" spans="1:24" x14ac:dyDescent="0.3">
      <c r="A286" s="24"/>
      <c r="B286" s="11"/>
      <c r="C286" s="11"/>
      <c r="D286" s="11">
        <f t="shared" si="1"/>
        <v>1.8199999999999998</v>
      </c>
      <c r="E286" s="11">
        <v>18.2</v>
      </c>
      <c r="F286" s="11">
        <f t="shared" ref="F286:K286" si="26">E286*10</f>
        <v>182</v>
      </c>
      <c r="G286" s="11">
        <f t="shared" si="26"/>
        <v>1820</v>
      </c>
      <c r="H286" s="11">
        <f t="shared" si="26"/>
        <v>18200</v>
      </c>
      <c r="I286" s="11">
        <f t="shared" si="26"/>
        <v>182000</v>
      </c>
      <c r="J286" s="11">
        <f t="shared" si="26"/>
        <v>1820000</v>
      </c>
      <c r="K286" s="11">
        <f t="shared" si="26"/>
        <v>18200000</v>
      </c>
      <c r="L286" s="11"/>
      <c r="M286" s="11"/>
      <c r="N286" s="11"/>
      <c r="O286" s="11"/>
      <c r="P286" s="11"/>
      <c r="Q286" s="11"/>
      <c r="R286" s="11"/>
      <c r="S286" s="11"/>
      <c r="T286" s="11"/>
      <c r="U286" s="11"/>
      <c r="V286" s="11"/>
      <c r="W286" s="11"/>
      <c r="X286" s="11"/>
    </row>
    <row r="287" spans="1:24" x14ac:dyDescent="0.3">
      <c r="A287" s="24"/>
      <c r="B287" s="11"/>
      <c r="C287" s="11"/>
      <c r="D287" s="11">
        <f t="shared" si="1"/>
        <v>1.8699999999999999</v>
      </c>
      <c r="E287" s="11">
        <v>18.7</v>
      </c>
      <c r="F287" s="11">
        <f t="shared" ref="F287:K287" si="27">E287*10</f>
        <v>187</v>
      </c>
      <c r="G287" s="11">
        <f t="shared" si="27"/>
        <v>1870</v>
      </c>
      <c r="H287" s="11">
        <f t="shared" si="27"/>
        <v>18700</v>
      </c>
      <c r="I287" s="11">
        <f t="shared" si="27"/>
        <v>187000</v>
      </c>
      <c r="J287" s="11">
        <f t="shared" si="27"/>
        <v>1870000</v>
      </c>
      <c r="K287" s="11">
        <f t="shared" si="27"/>
        <v>18700000</v>
      </c>
      <c r="L287" s="11"/>
      <c r="M287" s="11"/>
      <c r="N287" s="11"/>
      <c r="O287" s="11"/>
      <c r="P287" s="11"/>
      <c r="Q287" s="11"/>
      <c r="R287" s="11"/>
      <c r="S287" s="11"/>
      <c r="T287" s="11"/>
      <c r="U287" s="11"/>
      <c r="V287" s="11"/>
      <c r="W287" s="11"/>
      <c r="X287" s="11"/>
    </row>
    <row r="288" spans="1:24" x14ac:dyDescent="0.3">
      <c r="A288" s="24"/>
      <c r="B288" s="11"/>
      <c r="C288" s="11"/>
      <c r="D288" s="11">
        <f t="shared" si="1"/>
        <v>1.9100000000000001</v>
      </c>
      <c r="E288" s="11">
        <v>19.100000000000001</v>
      </c>
      <c r="F288" s="11">
        <f t="shared" ref="F288:K288" si="28">E288*10</f>
        <v>191</v>
      </c>
      <c r="G288" s="11">
        <f t="shared" si="28"/>
        <v>1910</v>
      </c>
      <c r="H288" s="11">
        <f t="shared" si="28"/>
        <v>19100</v>
      </c>
      <c r="I288" s="11">
        <f t="shared" si="28"/>
        <v>191000</v>
      </c>
      <c r="J288" s="11">
        <f t="shared" si="28"/>
        <v>1910000</v>
      </c>
      <c r="K288" s="11">
        <f t="shared" si="28"/>
        <v>19100000</v>
      </c>
      <c r="L288" s="11"/>
      <c r="M288" s="11"/>
      <c r="N288" s="11"/>
      <c r="O288" s="11"/>
      <c r="P288" s="11"/>
      <c r="Q288" s="11"/>
      <c r="R288" s="11"/>
      <c r="S288" s="11"/>
      <c r="T288" s="11"/>
      <c r="U288" s="11"/>
      <c r="V288" s="11"/>
      <c r="W288" s="11"/>
      <c r="X288" s="11"/>
    </row>
    <row r="289" spans="1:24" x14ac:dyDescent="0.3">
      <c r="A289" s="24"/>
      <c r="B289" s="11"/>
      <c r="C289" s="11"/>
      <c r="D289" s="11">
        <f t="shared" si="1"/>
        <v>1.9600000000000002</v>
      </c>
      <c r="E289" s="11">
        <v>19.600000000000001</v>
      </c>
      <c r="F289" s="11">
        <f t="shared" ref="F289:K289" si="29">E289*10</f>
        <v>196</v>
      </c>
      <c r="G289" s="11">
        <f t="shared" si="29"/>
        <v>1960</v>
      </c>
      <c r="H289" s="11">
        <f t="shared" si="29"/>
        <v>19600</v>
      </c>
      <c r="I289" s="11">
        <f t="shared" si="29"/>
        <v>196000</v>
      </c>
      <c r="J289" s="11">
        <f t="shared" si="29"/>
        <v>1960000</v>
      </c>
      <c r="K289" s="11">
        <f t="shared" si="29"/>
        <v>19600000</v>
      </c>
      <c r="L289" s="11"/>
      <c r="M289" s="11"/>
      <c r="N289" s="11"/>
      <c r="O289" s="11"/>
      <c r="P289" s="11"/>
      <c r="Q289" s="11"/>
      <c r="R289" s="11"/>
      <c r="S289" s="11"/>
      <c r="T289" s="11"/>
      <c r="U289" s="11"/>
      <c r="V289" s="11"/>
      <c r="W289" s="11"/>
      <c r="X289" s="11"/>
    </row>
    <row r="290" spans="1:24" x14ac:dyDescent="0.3">
      <c r="A290" s="24"/>
      <c r="B290" s="11"/>
      <c r="C290" s="11"/>
      <c r="D290" s="11">
        <f t="shared" si="1"/>
        <v>2</v>
      </c>
      <c r="E290" s="11">
        <v>20</v>
      </c>
      <c r="F290" s="11">
        <f t="shared" ref="F290:K290" si="30">E290*10</f>
        <v>200</v>
      </c>
      <c r="G290" s="11">
        <f t="shared" si="30"/>
        <v>2000</v>
      </c>
      <c r="H290" s="11">
        <f t="shared" si="30"/>
        <v>20000</v>
      </c>
      <c r="I290" s="11">
        <f t="shared" si="30"/>
        <v>200000</v>
      </c>
      <c r="J290" s="11">
        <f t="shared" si="30"/>
        <v>2000000</v>
      </c>
      <c r="K290" s="11">
        <f t="shared" si="30"/>
        <v>20000000</v>
      </c>
      <c r="L290" s="11"/>
      <c r="M290" s="11"/>
      <c r="N290" s="11"/>
      <c r="O290" s="11"/>
      <c r="P290" s="11"/>
      <c r="Q290" s="11"/>
      <c r="R290" s="11"/>
      <c r="S290" s="11"/>
      <c r="T290" s="11"/>
      <c r="U290" s="11"/>
      <c r="V290" s="11"/>
      <c r="W290" s="11"/>
      <c r="X290" s="11"/>
    </row>
    <row r="291" spans="1:24" x14ac:dyDescent="0.3">
      <c r="A291" s="24"/>
      <c r="B291" s="11"/>
      <c r="C291" s="11"/>
      <c r="D291" s="11">
        <f t="shared" si="1"/>
        <v>2.0499999999999998</v>
      </c>
      <c r="E291" s="11">
        <v>20.5</v>
      </c>
      <c r="F291" s="11">
        <f t="shared" ref="F291:K291" si="31">E291*10</f>
        <v>205</v>
      </c>
      <c r="G291" s="11">
        <f t="shared" si="31"/>
        <v>2050</v>
      </c>
      <c r="H291" s="11">
        <f t="shared" si="31"/>
        <v>20500</v>
      </c>
      <c r="I291" s="11">
        <f t="shared" si="31"/>
        <v>205000</v>
      </c>
      <c r="J291" s="11">
        <f t="shared" si="31"/>
        <v>2050000</v>
      </c>
      <c r="K291" s="11">
        <f t="shared" si="31"/>
        <v>20500000</v>
      </c>
      <c r="L291" s="11"/>
      <c r="M291" s="11"/>
      <c r="N291" s="11"/>
      <c r="O291" s="11"/>
      <c r="P291" s="11"/>
      <c r="Q291" s="11"/>
      <c r="R291" s="11"/>
      <c r="S291" s="11"/>
      <c r="T291" s="11"/>
      <c r="U291" s="11"/>
      <c r="V291" s="11"/>
      <c r="W291" s="11"/>
      <c r="X291" s="11"/>
    </row>
    <row r="292" spans="1:24" x14ac:dyDescent="0.3">
      <c r="A292" s="24"/>
      <c r="B292" s="11"/>
      <c r="C292" s="11"/>
      <c r="D292" s="11">
        <f t="shared" si="1"/>
        <v>2.1</v>
      </c>
      <c r="E292" s="11">
        <v>21</v>
      </c>
      <c r="F292" s="11">
        <f t="shared" ref="F292:K292" si="32">E292*10</f>
        <v>210</v>
      </c>
      <c r="G292" s="11">
        <f t="shared" si="32"/>
        <v>2100</v>
      </c>
      <c r="H292" s="11">
        <f t="shared" si="32"/>
        <v>21000</v>
      </c>
      <c r="I292" s="11">
        <f t="shared" si="32"/>
        <v>210000</v>
      </c>
      <c r="J292" s="11">
        <f t="shared" si="32"/>
        <v>2100000</v>
      </c>
      <c r="K292" s="11">
        <f t="shared" si="32"/>
        <v>21000000</v>
      </c>
      <c r="L292" s="11"/>
      <c r="M292" s="11"/>
      <c r="N292" s="11"/>
      <c r="O292" s="11"/>
      <c r="P292" s="11"/>
      <c r="Q292" s="11"/>
      <c r="R292" s="11"/>
      <c r="S292" s="11"/>
      <c r="T292" s="11"/>
      <c r="U292" s="11"/>
      <c r="V292" s="11"/>
      <c r="W292" s="11"/>
      <c r="X292" s="11"/>
    </row>
    <row r="293" spans="1:24" x14ac:dyDescent="0.3">
      <c r="A293" s="24"/>
      <c r="B293" s="11"/>
      <c r="C293" s="11"/>
      <c r="D293" s="11">
        <f t="shared" si="1"/>
        <v>2.15</v>
      </c>
      <c r="E293" s="11">
        <v>21.5</v>
      </c>
      <c r="F293" s="11">
        <f t="shared" ref="F293:K293" si="33">E293*10</f>
        <v>215</v>
      </c>
      <c r="G293" s="11">
        <f t="shared" si="33"/>
        <v>2150</v>
      </c>
      <c r="H293" s="11">
        <f t="shared" si="33"/>
        <v>21500</v>
      </c>
      <c r="I293" s="11">
        <f t="shared" si="33"/>
        <v>215000</v>
      </c>
      <c r="J293" s="11">
        <f t="shared" si="33"/>
        <v>2150000</v>
      </c>
      <c r="K293" s="11">
        <f t="shared" si="33"/>
        <v>21500000</v>
      </c>
      <c r="L293" s="11"/>
      <c r="M293" s="11"/>
      <c r="N293" s="11"/>
      <c r="O293" s="11"/>
      <c r="P293" s="11"/>
      <c r="Q293" s="11"/>
      <c r="R293" s="11"/>
      <c r="S293" s="11"/>
      <c r="T293" s="11"/>
      <c r="U293" s="11"/>
      <c r="V293" s="11"/>
      <c r="W293" s="11"/>
      <c r="X293" s="11"/>
    </row>
    <row r="294" spans="1:24" x14ac:dyDescent="0.3">
      <c r="A294" s="24"/>
      <c r="B294" s="11"/>
      <c r="C294" s="11"/>
      <c r="D294" s="11">
        <f t="shared" si="1"/>
        <v>2.21</v>
      </c>
      <c r="E294" s="11">
        <v>22.1</v>
      </c>
      <c r="F294" s="11">
        <f t="shared" ref="F294:K294" si="34">E294*10</f>
        <v>221</v>
      </c>
      <c r="G294" s="11">
        <f t="shared" si="34"/>
        <v>2210</v>
      </c>
      <c r="H294" s="11">
        <f t="shared" si="34"/>
        <v>22100</v>
      </c>
      <c r="I294" s="11">
        <f t="shared" si="34"/>
        <v>221000</v>
      </c>
      <c r="J294" s="11">
        <f t="shared" si="34"/>
        <v>2210000</v>
      </c>
      <c r="K294" s="11">
        <f t="shared" si="34"/>
        <v>22100000</v>
      </c>
      <c r="L294" s="11"/>
      <c r="M294" s="11"/>
      <c r="N294" s="11"/>
      <c r="O294" s="11"/>
      <c r="P294" s="11"/>
      <c r="Q294" s="11"/>
      <c r="R294" s="11"/>
      <c r="S294" s="11"/>
      <c r="T294" s="11"/>
      <c r="U294" s="11"/>
      <c r="V294" s="11"/>
      <c r="W294" s="11"/>
      <c r="X294" s="11"/>
    </row>
    <row r="295" spans="1:24" x14ac:dyDescent="0.3">
      <c r="A295" s="24"/>
      <c r="B295" s="11"/>
      <c r="C295" s="11"/>
      <c r="D295" s="11">
        <f t="shared" si="1"/>
        <v>2.2600000000000002</v>
      </c>
      <c r="E295" s="11">
        <v>22.6</v>
      </c>
      <c r="F295" s="11">
        <f t="shared" ref="F295:K295" si="35">E295*10</f>
        <v>226</v>
      </c>
      <c r="G295" s="11">
        <f t="shared" si="35"/>
        <v>2260</v>
      </c>
      <c r="H295" s="11">
        <f t="shared" si="35"/>
        <v>22600</v>
      </c>
      <c r="I295" s="11">
        <f t="shared" si="35"/>
        <v>226000</v>
      </c>
      <c r="J295" s="11">
        <f t="shared" si="35"/>
        <v>2260000</v>
      </c>
      <c r="K295" s="11">
        <f t="shared" si="35"/>
        <v>22600000</v>
      </c>
      <c r="L295" s="11"/>
      <c r="M295" s="11"/>
      <c r="N295" s="11"/>
      <c r="O295" s="11"/>
      <c r="P295" s="11"/>
      <c r="Q295" s="11"/>
      <c r="R295" s="11"/>
      <c r="S295" s="11"/>
      <c r="T295" s="11"/>
      <c r="U295" s="11"/>
      <c r="V295" s="11"/>
      <c r="W295" s="11"/>
      <c r="X295" s="11"/>
    </row>
    <row r="296" spans="1:24" x14ac:dyDescent="0.3">
      <c r="A296" s="24"/>
      <c r="B296" s="11"/>
      <c r="C296" s="11"/>
      <c r="D296" s="11">
        <f t="shared" si="1"/>
        <v>2.3199999999999998</v>
      </c>
      <c r="E296" s="11">
        <v>23.2</v>
      </c>
      <c r="F296" s="11">
        <f t="shared" ref="F296:K296" si="36">E296*10</f>
        <v>232</v>
      </c>
      <c r="G296" s="11">
        <f t="shared" si="36"/>
        <v>2320</v>
      </c>
      <c r="H296" s="11">
        <f t="shared" si="36"/>
        <v>23200</v>
      </c>
      <c r="I296" s="11">
        <f t="shared" si="36"/>
        <v>232000</v>
      </c>
      <c r="J296" s="11">
        <f t="shared" si="36"/>
        <v>2320000</v>
      </c>
      <c r="K296" s="11">
        <f t="shared" si="36"/>
        <v>23200000</v>
      </c>
      <c r="L296" s="11"/>
      <c r="M296" s="11"/>
      <c r="N296" s="11"/>
      <c r="O296" s="11"/>
      <c r="P296" s="11"/>
      <c r="Q296" s="11"/>
      <c r="R296" s="11"/>
      <c r="S296" s="11"/>
      <c r="T296" s="11"/>
      <c r="U296" s="11"/>
      <c r="V296" s="11"/>
      <c r="W296" s="11"/>
      <c r="X296" s="11"/>
    </row>
    <row r="297" spans="1:24" x14ac:dyDescent="0.3">
      <c r="A297" s="24"/>
      <c r="B297" s="11"/>
      <c r="C297" s="11"/>
      <c r="D297" s="11">
        <f t="shared" si="1"/>
        <v>2.37</v>
      </c>
      <c r="E297" s="11">
        <v>23.7</v>
      </c>
      <c r="F297" s="11">
        <f t="shared" ref="F297:K297" si="37">E297*10</f>
        <v>237</v>
      </c>
      <c r="G297" s="11">
        <f t="shared" si="37"/>
        <v>2370</v>
      </c>
      <c r="H297" s="11">
        <f t="shared" si="37"/>
        <v>23700</v>
      </c>
      <c r="I297" s="11">
        <f t="shared" si="37"/>
        <v>237000</v>
      </c>
      <c r="J297" s="11">
        <f t="shared" si="37"/>
        <v>2370000</v>
      </c>
      <c r="K297" s="11">
        <f t="shared" si="37"/>
        <v>23700000</v>
      </c>
      <c r="L297" s="11"/>
      <c r="M297" s="11"/>
      <c r="N297" s="11"/>
      <c r="O297" s="11"/>
      <c r="P297" s="11"/>
      <c r="Q297" s="11"/>
      <c r="R297" s="11"/>
      <c r="S297" s="11"/>
      <c r="T297" s="11"/>
      <c r="U297" s="11"/>
      <c r="V297" s="11"/>
      <c r="W297" s="11"/>
      <c r="X297" s="11"/>
    </row>
    <row r="298" spans="1:24" x14ac:dyDescent="0.3">
      <c r="A298" s="24"/>
      <c r="B298" s="11"/>
      <c r="C298" s="11"/>
      <c r="D298" s="11">
        <f t="shared" si="1"/>
        <v>2.4300000000000002</v>
      </c>
      <c r="E298" s="11">
        <v>24.3</v>
      </c>
      <c r="F298" s="11">
        <f t="shared" ref="F298:K298" si="38">E298*10</f>
        <v>243</v>
      </c>
      <c r="G298" s="11">
        <f t="shared" si="38"/>
        <v>2430</v>
      </c>
      <c r="H298" s="11">
        <f t="shared" si="38"/>
        <v>24300</v>
      </c>
      <c r="I298" s="11">
        <f t="shared" si="38"/>
        <v>243000</v>
      </c>
      <c r="J298" s="11">
        <f t="shared" si="38"/>
        <v>2430000</v>
      </c>
      <c r="K298" s="11">
        <f t="shared" si="38"/>
        <v>24300000</v>
      </c>
      <c r="L298" s="11"/>
      <c r="M298" s="11"/>
      <c r="N298" s="11"/>
      <c r="O298" s="11"/>
      <c r="P298" s="11"/>
      <c r="Q298" s="11"/>
      <c r="R298" s="11"/>
      <c r="S298" s="11"/>
      <c r="T298" s="11"/>
      <c r="U298" s="11"/>
      <c r="V298" s="11"/>
      <c r="W298" s="11"/>
      <c r="X298" s="11"/>
    </row>
    <row r="299" spans="1:24" x14ac:dyDescent="0.3">
      <c r="A299" s="24"/>
      <c r="B299" s="11"/>
      <c r="C299" s="11"/>
      <c r="D299" s="11">
        <f t="shared" si="1"/>
        <v>2.4899999999999998</v>
      </c>
      <c r="E299" s="11">
        <v>24.9</v>
      </c>
      <c r="F299" s="11">
        <f t="shared" ref="F299:K299" si="39">E299*10</f>
        <v>249</v>
      </c>
      <c r="G299" s="11">
        <f t="shared" si="39"/>
        <v>2490</v>
      </c>
      <c r="H299" s="11">
        <f t="shared" si="39"/>
        <v>24900</v>
      </c>
      <c r="I299" s="11">
        <f t="shared" si="39"/>
        <v>249000</v>
      </c>
      <c r="J299" s="11">
        <f t="shared" si="39"/>
        <v>2490000</v>
      </c>
      <c r="K299" s="11">
        <f t="shared" si="39"/>
        <v>24900000</v>
      </c>
      <c r="L299" s="11"/>
      <c r="M299" s="11"/>
      <c r="N299" s="11"/>
      <c r="O299" s="11"/>
      <c r="P299" s="11"/>
      <c r="Q299" s="11"/>
      <c r="R299" s="11"/>
      <c r="S299" s="11"/>
      <c r="T299" s="11"/>
      <c r="U299" s="11"/>
      <c r="V299" s="11"/>
      <c r="W299" s="11"/>
      <c r="X299" s="11"/>
    </row>
    <row r="300" spans="1:24" x14ac:dyDescent="0.3">
      <c r="A300" s="24"/>
      <c r="B300" s="11"/>
      <c r="C300" s="11"/>
      <c r="D300" s="11">
        <f t="shared" si="1"/>
        <v>2.5499999999999998</v>
      </c>
      <c r="E300" s="11">
        <v>25.5</v>
      </c>
      <c r="F300" s="11">
        <f t="shared" ref="F300:K300" si="40">E300*10</f>
        <v>255</v>
      </c>
      <c r="G300" s="11">
        <f t="shared" si="40"/>
        <v>2550</v>
      </c>
      <c r="H300" s="11">
        <f t="shared" si="40"/>
        <v>25500</v>
      </c>
      <c r="I300" s="11">
        <f t="shared" si="40"/>
        <v>255000</v>
      </c>
      <c r="J300" s="11">
        <f t="shared" si="40"/>
        <v>2550000</v>
      </c>
      <c r="K300" s="11">
        <f t="shared" si="40"/>
        <v>25500000</v>
      </c>
      <c r="L300" s="11"/>
      <c r="M300" s="11"/>
      <c r="N300" s="11"/>
      <c r="O300" s="11"/>
      <c r="P300" s="11"/>
      <c r="Q300" s="11"/>
      <c r="R300" s="11"/>
      <c r="S300" s="11"/>
      <c r="T300" s="11"/>
      <c r="U300" s="11"/>
      <c r="V300" s="11"/>
      <c r="W300" s="11"/>
      <c r="X300" s="11"/>
    </row>
    <row r="301" spans="1:24" x14ac:dyDescent="0.3">
      <c r="A301" s="24"/>
      <c r="B301" s="11"/>
      <c r="C301" s="11"/>
      <c r="D301" s="11">
        <f t="shared" si="1"/>
        <v>2.6100000000000003</v>
      </c>
      <c r="E301" s="11">
        <v>26.1</v>
      </c>
      <c r="F301" s="11">
        <f t="shared" ref="F301:K301" si="41">E301*10</f>
        <v>261</v>
      </c>
      <c r="G301" s="11">
        <f t="shared" si="41"/>
        <v>2610</v>
      </c>
      <c r="H301" s="11">
        <f t="shared" si="41"/>
        <v>26100</v>
      </c>
      <c r="I301" s="11">
        <f t="shared" si="41"/>
        <v>261000</v>
      </c>
      <c r="J301" s="11">
        <f t="shared" si="41"/>
        <v>2610000</v>
      </c>
      <c r="K301" s="11">
        <f t="shared" si="41"/>
        <v>26100000</v>
      </c>
      <c r="L301" s="11"/>
      <c r="M301" s="11"/>
      <c r="N301" s="11"/>
      <c r="O301" s="11"/>
      <c r="P301" s="11"/>
      <c r="Q301" s="11"/>
      <c r="R301" s="11"/>
      <c r="S301" s="11"/>
      <c r="T301" s="11"/>
      <c r="U301" s="11"/>
      <c r="V301" s="11"/>
      <c r="W301" s="11"/>
      <c r="X301" s="11"/>
    </row>
    <row r="302" spans="1:24" x14ac:dyDescent="0.3">
      <c r="A302" s="24"/>
      <c r="B302" s="11"/>
      <c r="C302" s="11"/>
      <c r="D302" s="11">
        <f t="shared" si="1"/>
        <v>2.67</v>
      </c>
      <c r="E302" s="11">
        <v>26.7</v>
      </c>
      <c r="F302" s="11">
        <f t="shared" ref="F302:K302" si="42">E302*10</f>
        <v>267</v>
      </c>
      <c r="G302" s="11">
        <f t="shared" si="42"/>
        <v>2670</v>
      </c>
      <c r="H302" s="11">
        <f t="shared" si="42"/>
        <v>26700</v>
      </c>
      <c r="I302" s="11">
        <f t="shared" si="42"/>
        <v>267000</v>
      </c>
      <c r="J302" s="11">
        <f t="shared" si="42"/>
        <v>2670000</v>
      </c>
      <c r="K302" s="11">
        <f t="shared" si="42"/>
        <v>26700000</v>
      </c>
      <c r="L302" s="11"/>
      <c r="M302" s="11"/>
      <c r="N302" s="11"/>
      <c r="O302" s="11"/>
      <c r="P302" s="11"/>
      <c r="Q302" s="11"/>
      <c r="R302" s="11"/>
      <c r="S302" s="11"/>
      <c r="T302" s="11"/>
      <c r="U302" s="11"/>
      <c r="V302" s="11"/>
      <c r="W302" s="11"/>
      <c r="X302" s="11"/>
    </row>
    <row r="303" spans="1:24" x14ac:dyDescent="0.3">
      <c r="A303" s="24"/>
      <c r="B303" s="11"/>
      <c r="C303" s="11"/>
      <c r="D303" s="11">
        <f t="shared" si="1"/>
        <v>2.7399999999999998</v>
      </c>
      <c r="E303" s="11">
        <v>27.4</v>
      </c>
      <c r="F303" s="11">
        <f t="shared" ref="F303:K303" si="43">E303*10</f>
        <v>274</v>
      </c>
      <c r="G303" s="11">
        <f t="shared" si="43"/>
        <v>2740</v>
      </c>
      <c r="H303" s="11">
        <f t="shared" si="43"/>
        <v>27400</v>
      </c>
      <c r="I303" s="11">
        <f t="shared" si="43"/>
        <v>274000</v>
      </c>
      <c r="J303" s="11">
        <f t="shared" si="43"/>
        <v>2740000</v>
      </c>
      <c r="K303" s="11">
        <f t="shared" si="43"/>
        <v>27400000</v>
      </c>
      <c r="L303" s="11"/>
      <c r="M303" s="11"/>
      <c r="N303" s="11"/>
      <c r="O303" s="11"/>
      <c r="P303" s="11"/>
      <c r="Q303" s="11"/>
      <c r="R303" s="11"/>
      <c r="S303" s="11"/>
      <c r="T303" s="11"/>
      <c r="U303" s="11"/>
      <c r="V303" s="11"/>
      <c r="W303" s="11"/>
      <c r="X303" s="11"/>
    </row>
    <row r="304" spans="1:24" x14ac:dyDescent="0.3">
      <c r="A304" s="24"/>
      <c r="B304" s="11"/>
      <c r="C304" s="11"/>
      <c r="D304" s="11">
        <f t="shared" si="1"/>
        <v>2.8</v>
      </c>
      <c r="E304" s="11">
        <v>28</v>
      </c>
      <c r="F304" s="11">
        <f t="shared" ref="F304:K304" si="44">E304*10</f>
        <v>280</v>
      </c>
      <c r="G304" s="11">
        <f t="shared" si="44"/>
        <v>2800</v>
      </c>
      <c r="H304" s="11">
        <f t="shared" si="44"/>
        <v>28000</v>
      </c>
      <c r="I304" s="11">
        <f t="shared" si="44"/>
        <v>280000</v>
      </c>
      <c r="J304" s="11">
        <f t="shared" si="44"/>
        <v>2800000</v>
      </c>
      <c r="K304" s="11">
        <f t="shared" si="44"/>
        <v>28000000</v>
      </c>
      <c r="L304" s="11"/>
      <c r="M304" s="11"/>
      <c r="N304" s="11"/>
      <c r="O304" s="11"/>
      <c r="P304" s="11"/>
      <c r="Q304" s="11"/>
      <c r="R304" s="11"/>
      <c r="S304" s="11"/>
      <c r="T304" s="11"/>
      <c r="U304" s="11"/>
      <c r="V304" s="11"/>
      <c r="W304" s="11"/>
      <c r="X304" s="11"/>
    </row>
    <row r="305" spans="1:24" x14ac:dyDescent="0.3">
      <c r="A305" s="24"/>
      <c r="B305" s="11"/>
      <c r="C305" s="11"/>
      <c r="D305" s="11">
        <f t="shared" si="1"/>
        <v>2.87</v>
      </c>
      <c r="E305" s="11">
        <v>28.7</v>
      </c>
      <c r="F305" s="11">
        <f t="shared" ref="F305:K305" si="45">E305*10</f>
        <v>287</v>
      </c>
      <c r="G305" s="11">
        <f t="shared" si="45"/>
        <v>2870</v>
      </c>
      <c r="H305" s="11">
        <f t="shared" si="45"/>
        <v>28700</v>
      </c>
      <c r="I305" s="11">
        <f t="shared" si="45"/>
        <v>287000</v>
      </c>
      <c r="J305" s="11">
        <f t="shared" si="45"/>
        <v>2870000</v>
      </c>
      <c r="K305" s="11">
        <f t="shared" si="45"/>
        <v>28700000</v>
      </c>
      <c r="L305" s="11"/>
      <c r="M305" s="11"/>
      <c r="N305" s="11"/>
      <c r="O305" s="11"/>
      <c r="P305" s="11"/>
      <c r="Q305" s="11"/>
      <c r="R305" s="11"/>
      <c r="S305" s="11"/>
      <c r="T305" s="11"/>
      <c r="U305" s="11"/>
      <c r="V305" s="11"/>
      <c r="W305" s="11"/>
      <c r="X305" s="11"/>
    </row>
    <row r="306" spans="1:24" x14ac:dyDescent="0.3">
      <c r="A306" s="24"/>
      <c r="B306" s="11"/>
      <c r="C306" s="11"/>
      <c r="D306" s="11">
        <f t="shared" si="1"/>
        <v>2.94</v>
      </c>
      <c r="E306" s="11">
        <v>29.4</v>
      </c>
      <c r="F306" s="11">
        <f t="shared" ref="F306:K306" si="46">E306*10</f>
        <v>294</v>
      </c>
      <c r="G306" s="11">
        <f t="shared" si="46"/>
        <v>2940</v>
      </c>
      <c r="H306" s="11">
        <f t="shared" si="46"/>
        <v>29400</v>
      </c>
      <c r="I306" s="11">
        <f t="shared" si="46"/>
        <v>294000</v>
      </c>
      <c r="J306" s="11">
        <f t="shared" si="46"/>
        <v>2940000</v>
      </c>
      <c r="K306" s="11">
        <f t="shared" si="46"/>
        <v>29400000</v>
      </c>
      <c r="L306" s="11"/>
      <c r="M306" s="11"/>
      <c r="N306" s="11"/>
      <c r="O306" s="11"/>
      <c r="P306" s="11"/>
      <c r="Q306" s="11"/>
      <c r="R306" s="11"/>
      <c r="S306" s="11"/>
      <c r="T306" s="11"/>
      <c r="U306" s="11"/>
      <c r="V306" s="11"/>
      <c r="W306" s="11"/>
      <c r="X306" s="11"/>
    </row>
    <row r="307" spans="1:24" x14ac:dyDescent="0.3">
      <c r="A307" s="24"/>
      <c r="B307" s="11"/>
      <c r="C307" s="11"/>
      <c r="D307" s="11">
        <f t="shared" si="1"/>
        <v>3.0100000000000002</v>
      </c>
      <c r="E307" s="11">
        <v>30.1</v>
      </c>
      <c r="F307" s="11">
        <f t="shared" ref="F307:K307" si="47">E307*10</f>
        <v>301</v>
      </c>
      <c r="G307" s="11">
        <f t="shared" si="47"/>
        <v>3010</v>
      </c>
      <c r="H307" s="11">
        <f t="shared" si="47"/>
        <v>30100</v>
      </c>
      <c r="I307" s="11">
        <f t="shared" si="47"/>
        <v>301000</v>
      </c>
      <c r="J307" s="11">
        <f t="shared" si="47"/>
        <v>3010000</v>
      </c>
      <c r="K307" s="11">
        <f t="shared" si="47"/>
        <v>30100000</v>
      </c>
      <c r="L307" s="11"/>
      <c r="M307" s="11"/>
      <c r="N307" s="11"/>
      <c r="O307" s="11"/>
      <c r="P307" s="11"/>
      <c r="Q307" s="11"/>
      <c r="R307" s="11"/>
      <c r="S307" s="11"/>
      <c r="T307" s="11"/>
      <c r="U307" s="11"/>
      <c r="V307" s="11"/>
      <c r="W307" s="11"/>
      <c r="X307" s="11"/>
    </row>
    <row r="308" spans="1:24" x14ac:dyDescent="0.3">
      <c r="A308" s="24"/>
      <c r="B308" s="11"/>
      <c r="C308" s="11"/>
      <c r="D308" s="11">
        <f t="shared" si="1"/>
        <v>3.09</v>
      </c>
      <c r="E308" s="11">
        <v>30.9</v>
      </c>
      <c r="F308" s="11">
        <f t="shared" ref="F308:K308" si="48">E308*10</f>
        <v>309</v>
      </c>
      <c r="G308" s="11">
        <f t="shared" si="48"/>
        <v>3090</v>
      </c>
      <c r="H308" s="11">
        <f t="shared" si="48"/>
        <v>30900</v>
      </c>
      <c r="I308" s="11">
        <f t="shared" si="48"/>
        <v>309000</v>
      </c>
      <c r="J308" s="11">
        <f t="shared" si="48"/>
        <v>3090000</v>
      </c>
      <c r="K308" s="11">
        <f t="shared" si="48"/>
        <v>30900000</v>
      </c>
      <c r="L308" s="11"/>
      <c r="M308" s="11"/>
      <c r="N308" s="11"/>
      <c r="O308" s="11"/>
      <c r="P308" s="11"/>
      <c r="Q308" s="11"/>
      <c r="R308" s="11"/>
      <c r="S308" s="11"/>
      <c r="T308" s="11"/>
      <c r="U308" s="11"/>
      <c r="V308" s="11"/>
      <c r="W308" s="11"/>
      <c r="X308" s="11"/>
    </row>
    <row r="309" spans="1:24" x14ac:dyDescent="0.3">
      <c r="A309" s="24"/>
      <c r="B309" s="11"/>
      <c r="C309" s="11"/>
      <c r="D309" s="11">
        <f t="shared" si="1"/>
        <v>3.16</v>
      </c>
      <c r="E309" s="11">
        <v>31.6</v>
      </c>
      <c r="F309" s="11">
        <f t="shared" ref="F309:K309" si="49">E309*10</f>
        <v>316</v>
      </c>
      <c r="G309" s="11">
        <f t="shared" si="49"/>
        <v>3160</v>
      </c>
      <c r="H309" s="11">
        <f t="shared" si="49"/>
        <v>31600</v>
      </c>
      <c r="I309" s="11">
        <f t="shared" si="49"/>
        <v>316000</v>
      </c>
      <c r="J309" s="11">
        <f t="shared" si="49"/>
        <v>3160000</v>
      </c>
      <c r="K309" s="11">
        <f t="shared" si="49"/>
        <v>31600000</v>
      </c>
      <c r="L309" s="11"/>
      <c r="M309" s="11"/>
      <c r="N309" s="11"/>
      <c r="O309" s="11"/>
      <c r="P309" s="11"/>
      <c r="Q309" s="11"/>
      <c r="R309" s="11"/>
      <c r="S309" s="11"/>
      <c r="T309" s="11"/>
      <c r="U309" s="11"/>
      <c r="V309" s="11"/>
      <c r="W309" s="11"/>
      <c r="X309" s="11"/>
    </row>
    <row r="310" spans="1:24" x14ac:dyDescent="0.3">
      <c r="A310" s="24"/>
      <c r="B310" s="11"/>
      <c r="C310" s="11"/>
      <c r="D310" s="11">
        <f t="shared" si="1"/>
        <v>3.2399999999999998</v>
      </c>
      <c r="E310" s="11">
        <v>32.4</v>
      </c>
      <c r="F310" s="11">
        <f t="shared" ref="F310:K310" si="50">E310*10</f>
        <v>324</v>
      </c>
      <c r="G310" s="11">
        <f t="shared" si="50"/>
        <v>3240</v>
      </c>
      <c r="H310" s="11">
        <f t="shared" si="50"/>
        <v>32400</v>
      </c>
      <c r="I310" s="11">
        <f t="shared" si="50"/>
        <v>324000</v>
      </c>
      <c r="J310" s="11">
        <f t="shared" si="50"/>
        <v>3240000</v>
      </c>
      <c r="K310" s="11">
        <f t="shared" si="50"/>
        <v>32400000</v>
      </c>
      <c r="L310" s="11"/>
      <c r="M310" s="11"/>
      <c r="N310" s="11"/>
      <c r="O310" s="11"/>
      <c r="P310" s="11"/>
      <c r="Q310" s="11"/>
      <c r="R310" s="11"/>
      <c r="S310" s="11"/>
      <c r="T310" s="11"/>
      <c r="U310" s="11"/>
      <c r="V310" s="11"/>
      <c r="W310" s="11"/>
      <c r="X310" s="11"/>
    </row>
    <row r="311" spans="1:24" x14ac:dyDescent="0.3">
      <c r="A311" s="24"/>
      <c r="B311" s="11"/>
      <c r="C311" s="11"/>
      <c r="D311" s="11">
        <f t="shared" si="1"/>
        <v>3.3200000000000003</v>
      </c>
      <c r="E311" s="11">
        <v>33.200000000000003</v>
      </c>
      <c r="F311" s="11">
        <f t="shared" ref="F311:K311" si="51">E311*10</f>
        <v>332</v>
      </c>
      <c r="G311" s="11">
        <f t="shared" si="51"/>
        <v>3320</v>
      </c>
      <c r="H311" s="11">
        <f t="shared" si="51"/>
        <v>33200</v>
      </c>
      <c r="I311" s="11">
        <f t="shared" si="51"/>
        <v>332000</v>
      </c>
      <c r="J311" s="11">
        <f t="shared" si="51"/>
        <v>3320000</v>
      </c>
      <c r="K311" s="11">
        <f t="shared" si="51"/>
        <v>33200000</v>
      </c>
      <c r="L311" s="11"/>
      <c r="M311" s="11"/>
      <c r="N311" s="11"/>
      <c r="O311" s="11"/>
      <c r="P311" s="11"/>
      <c r="Q311" s="11"/>
      <c r="R311" s="11"/>
      <c r="S311" s="11"/>
      <c r="T311" s="11"/>
      <c r="U311" s="11"/>
      <c r="V311" s="11"/>
      <c r="W311" s="11"/>
      <c r="X311" s="11"/>
    </row>
    <row r="312" spans="1:24" x14ac:dyDescent="0.3">
      <c r="A312" s="24"/>
      <c r="B312" s="11"/>
      <c r="C312" s="11"/>
      <c r="D312" s="11">
        <f t="shared" si="1"/>
        <v>3.4</v>
      </c>
      <c r="E312" s="11">
        <v>34</v>
      </c>
      <c r="F312" s="11">
        <f t="shared" ref="F312:K312" si="52">E312*10</f>
        <v>340</v>
      </c>
      <c r="G312" s="11">
        <f t="shared" si="52"/>
        <v>3400</v>
      </c>
      <c r="H312" s="11">
        <f t="shared" si="52"/>
        <v>34000</v>
      </c>
      <c r="I312" s="11">
        <f t="shared" si="52"/>
        <v>340000</v>
      </c>
      <c r="J312" s="11">
        <f t="shared" si="52"/>
        <v>3400000</v>
      </c>
      <c r="K312" s="11">
        <f t="shared" si="52"/>
        <v>34000000</v>
      </c>
      <c r="L312" s="11"/>
      <c r="M312" s="11"/>
      <c r="N312" s="11"/>
      <c r="O312" s="11"/>
      <c r="P312" s="11"/>
      <c r="Q312" s="11"/>
      <c r="R312" s="11"/>
      <c r="S312" s="11"/>
      <c r="T312" s="11"/>
      <c r="U312" s="11"/>
      <c r="V312" s="11"/>
      <c r="W312" s="11"/>
      <c r="X312" s="11"/>
    </row>
    <row r="313" spans="1:24" x14ac:dyDescent="0.3">
      <c r="A313" s="24"/>
      <c r="B313" s="11"/>
      <c r="C313" s="11"/>
      <c r="D313" s="11">
        <f t="shared" si="1"/>
        <v>3.4799999999999995</v>
      </c>
      <c r="E313" s="11">
        <v>34.799999999999997</v>
      </c>
      <c r="F313" s="11">
        <f t="shared" ref="F313:K313" si="53">E313*10</f>
        <v>348</v>
      </c>
      <c r="G313" s="11">
        <f t="shared" si="53"/>
        <v>3480</v>
      </c>
      <c r="H313" s="11">
        <f t="shared" si="53"/>
        <v>34800</v>
      </c>
      <c r="I313" s="11">
        <f t="shared" si="53"/>
        <v>348000</v>
      </c>
      <c r="J313" s="11">
        <f t="shared" si="53"/>
        <v>3480000</v>
      </c>
      <c r="K313" s="11">
        <f t="shared" si="53"/>
        <v>34800000</v>
      </c>
      <c r="L313" s="11"/>
      <c r="M313" s="11"/>
      <c r="N313" s="11"/>
      <c r="O313" s="11"/>
      <c r="P313" s="11"/>
      <c r="Q313" s="11"/>
      <c r="R313" s="11"/>
      <c r="S313" s="11"/>
      <c r="T313" s="11"/>
      <c r="U313" s="11"/>
      <c r="V313" s="11"/>
      <c r="W313" s="11"/>
      <c r="X313" s="11"/>
    </row>
    <row r="314" spans="1:24" x14ac:dyDescent="0.3">
      <c r="A314" s="24"/>
      <c r="B314" s="11"/>
      <c r="C314" s="11"/>
      <c r="D314" s="11">
        <f t="shared" si="1"/>
        <v>3.5700000000000003</v>
      </c>
      <c r="E314" s="11">
        <v>35.700000000000003</v>
      </c>
      <c r="F314" s="11">
        <f t="shared" ref="F314:K314" si="54">E314*10</f>
        <v>357</v>
      </c>
      <c r="G314" s="11">
        <f t="shared" si="54"/>
        <v>3570</v>
      </c>
      <c r="H314" s="11">
        <f t="shared" si="54"/>
        <v>35700</v>
      </c>
      <c r="I314" s="11">
        <f t="shared" si="54"/>
        <v>357000</v>
      </c>
      <c r="J314" s="11">
        <f t="shared" si="54"/>
        <v>3570000</v>
      </c>
      <c r="K314" s="11">
        <f t="shared" si="54"/>
        <v>35700000</v>
      </c>
      <c r="L314" s="11"/>
      <c r="M314" s="11"/>
      <c r="N314" s="11"/>
      <c r="O314" s="11"/>
      <c r="P314" s="11"/>
      <c r="Q314" s="11"/>
      <c r="R314" s="11"/>
      <c r="S314" s="11"/>
      <c r="T314" s="11"/>
      <c r="U314" s="11"/>
      <c r="V314" s="11"/>
      <c r="W314" s="11"/>
      <c r="X314" s="11"/>
    </row>
    <row r="315" spans="1:24" x14ac:dyDescent="0.3">
      <c r="A315" s="24"/>
      <c r="B315" s="11"/>
      <c r="C315" s="11"/>
      <c r="D315" s="11">
        <f t="shared" si="1"/>
        <v>3.65</v>
      </c>
      <c r="E315" s="11">
        <v>36.5</v>
      </c>
      <c r="F315" s="11">
        <f t="shared" ref="F315:K315" si="55">E315*10</f>
        <v>365</v>
      </c>
      <c r="G315" s="11">
        <f t="shared" si="55"/>
        <v>3650</v>
      </c>
      <c r="H315" s="11">
        <f t="shared" si="55"/>
        <v>36500</v>
      </c>
      <c r="I315" s="11">
        <f t="shared" si="55"/>
        <v>365000</v>
      </c>
      <c r="J315" s="11">
        <f t="shared" si="55"/>
        <v>3650000</v>
      </c>
      <c r="K315" s="11">
        <f t="shared" si="55"/>
        <v>36500000</v>
      </c>
      <c r="L315" s="11"/>
      <c r="M315" s="11"/>
      <c r="N315" s="11"/>
      <c r="O315" s="11"/>
      <c r="P315" s="11"/>
      <c r="Q315" s="11"/>
      <c r="R315" s="11"/>
      <c r="S315" s="11"/>
      <c r="T315" s="11"/>
      <c r="U315" s="11"/>
      <c r="V315" s="11"/>
      <c r="W315" s="11"/>
      <c r="X315" s="11"/>
    </row>
    <row r="316" spans="1:24" x14ac:dyDescent="0.3">
      <c r="A316" s="24"/>
      <c r="B316" s="11"/>
      <c r="C316" s="11"/>
      <c r="D316" s="11">
        <f t="shared" si="1"/>
        <v>3.7399999999999998</v>
      </c>
      <c r="E316" s="11">
        <v>37.4</v>
      </c>
      <c r="F316" s="11">
        <f t="shared" ref="F316:K316" si="56">E316*10</f>
        <v>374</v>
      </c>
      <c r="G316" s="11">
        <f t="shared" si="56"/>
        <v>3740</v>
      </c>
      <c r="H316" s="11">
        <f t="shared" si="56"/>
        <v>37400</v>
      </c>
      <c r="I316" s="11">
        <f t="shared" si="56"/>
        <v>374000</v>
      </c>
      <c r="J316" s="11">
        <f t="shared" si="56"/>
        <v>3740000</v>
      </c>
      <c r="K316" s="11">
        <f t="shared" si="56"/>
        <v>37400000</v>
      </c>
      <c r="L316" s="11"/>
      <c r="M316" s="11"/>
      <c r="N316" s="11"/>
      <c r="O316" s="11"/>
      <c r="P316" s="11"/>
      <c r="Q316" s="11"/>
      <c r="R316" s="11"/>
      <c r="S316" s="11"/>
      <c r="T316" s="11"/>
      <c r="U316" s="11"/>
      <c r="V316" s="11"/>
      <c r="W316" s="11"/>
      <c r="X316" s="11"/>
    </row>
    <row r="317" spans="1:24" x14ac:dyDescent="0.3">
      <c r="A317" s="24"/>
      <c r="B317" s="11"/>
      <c r="C317" s="11"/>
      <c r="D317" s="11">
        <f t="shared" si="1"/>
        <v>3.8299999999999996</v>
      </c>
      <c r="E317" s="11">
        <v>38.299999999999997</v>
      </c>
      <c r="F317" s="11">
        <f t="shared" ref="F317:K317" si="57">E317*10</f>
        <v>383</v>
      </c>
      <c r="G317" s="11">
        <f t="shared" si="57"/>
        <v>3830</v>
      </c>
      <c r="H317" s="11">
        <f t="shared" si="57"/>
        <v>38300</v>
      </c>
      <c r="I317" s="11">
        <f t="shared" si="57"/>
        <v>383000</v>
      </c>
      <c r="J317" s="11">
        <f t="shared" si="57"/>
        <v>3830000</v>
      </c>
      <c r="K317" s="11">
        <f t="shared" si="57"/>
        <v>38300000</v>
      </c>
      <c r="L317" s="11"/>
      <c r="M317" s="11"/>
      <c r="N317" s="11"/>
      <c r="O317" s="11"/>
      <c r="P317" s="11"/>
      <c r="Q317" s="11"/>
      <c r="R317" s="11"/>
      <c r="S317" s="11"/>
      <c r="T317" s="11"/>
      <c r="U317" s="11"/>
      <c r="V317" s="11"/>
      <c r="W317" s="11"/>
      <c r="X317" s="11"/>
    </row>
    <row r="318" spans="1:24" x14ac:dyDescent="0.3">
      <c r="A318" s="24"/>
      <c r="B318" s="11"/>
      <c r="C318" s="11"/>
      <c r="D318" s="11">
        <f t="shared" si="1"/>
        <v>3.9200000000000004</v>
      </c>
      <c r="E318" s="11">
        <v>39.200000000000003</v>
      </c>
      <c r="F318" s="11">
        <f t="shared" ref="F318:K318" si="58">E318*10</f>
        <v>392</v>
      </c>
      <c r="G318" s="11">
        <f t="shared" si="58"/>
        <v>3920</v>
      </c>
      <c r="H318" s="11">
        <f t="shared" si="58"/>
        <v>39200</v>
      </c>
      <c r="I318" s="11">
        <f t="shared" si="58"/>
        <v>392000</v>
      </c>
      <c r="J318" s="11">
        <f t="shared" si="58"/>
        <v>3920000</v>
      </c>
      <c r="K318" s="11">
        <f t="shared" si="58"/>
        <v>39200000</v>
      </c>
      <c r="L318" s="11"/>
      <c r="M318" s="11"/>
      <c r="N318" s="11"/>
      <c r="O318" s="11"/>
      <c r="P318" s="11"/>
      <c r="Q318" s="11"/>
      <c r="R318" s="11"/>
      <c r="S318" s="11"/>
      <c r="T318" s="11"/>
      <c r="U318" s="11"/>
      <c r="V318" s="11"/>
      <c r="W318" s="11"/>
      <c r="X318" s="11"/>
    </row>
    <row r="319" spans="1:24" x14ac:dyDescent="0.3">
      <c r="A319" s="24"/>
      <c r="B319" s="11"/>
      <c r="C319" s="11"/>
      <c r="D319" s="11">
        <f t="shared" si="1"/>
        <v>4.0200000000000005</v>
      </c>
      <c r="E319" s="11">
        <v>40.200000000000003</v>
      </c>
      <c r="F319" s="11">
        <f t="shared" ref="F319:K319" si="59">E319*10</f>
        <v>402</v>
      </c>
      <c r="G319" s="11">
        <f t="shared" si="59"/>
        <v>4020</v>
      </c>
      <c r="H319" s="11">
        <f t="shared" si="59"/>
        <v>40200</v>
      </c>
      <c r="I319" s="11">
        <f t="shared" si="59"/>
        <v>402000</v>
      </c>
      <c r="J319" s="11">
        <f t="shared" si="59"/>
        <v>4020000</v>
      </c>
      <c r="K319" s="11">
        <f t="shared" si="59"/>
        <v>40200000</v>
      </c>
      <c r="L319" s="11"/>
      <c r="M319" s="11"/>
      <c r="N319" s="11"/>
      <c r="O319" s="11"/>
      <c r="P319" s="11"/>
      <c r="Q319" s="11"/>
      <c r="R319" s="11"/>
      <c r="S319" s="11"/>
      <c r="T319" s="11"/>
      <c r="U319" s="11"/>
      <c r="V319" s="11"/>
      <c r="W319" s="11"/>
      <c r="X319" s="11"/>
    </row>
    <row r="320" spans="1:24" x14ac:dyDescent="0.3">
      <c r="A320" s="24"/>
      <c r="B320" s="11"/>
      <c r="C320" s="11"/>
      <c r="D320" s="11">
        <f t="shared" si="1"/>
        <v>4.12</v>
      </c>
      <c r="E320" s="11">
        <v>41.2</v>
      </c>
      <c r="F320" s="11">
        <f t="shared" ref="F320:K320" si="60">E320*10</f>
        <v>412</v>
      </c>
      <c r="G320" s="11">
        <f t="shared" si="60"/>
        <v>4120</v>
      </c>
      <c r="H320" s="11">
        <f t="shared" si="60"/>
        <v>41200</v>
      </c>
      <c r="I320" s="11">
        <f t="shared" si="60"/>
        <v>412000</v>
      </c>
      <c r="J320" s="11">
        <f t="shared" si="60"/>
        <v>4120000</v>
      </c>
      <c r="K320" s="11">
        <f t="shared" si="60"/>
        <v>41200000</v>
      </c>
      <c r="L320" s="11"/>
      <c r="M320" s="11"/>
      <c r="N320" s="11"/>
      <c r="O320" s="11"/>
      <c r="P320" s="11"/>
      <c r="Q320" s="11"/>
      <c r="R320" s="11"/>
      <c r="S320" s="11"/>
      <c r="T320" s="11"/>
      <c r="U320" s="11"/>
      <c r="V320" s="11"/>
      <c r="W320" s="11"/>
      <c r="X320" s="11"/>
    </row>
    <row r="321" spans="1:24" x14ac:dyDescent="0.3">
      <c r="A321" s="24"/>
      <c r="B321" s="11"/>
      <c r="C321" s="11"/>
      <c r="D321" s="11">
        <f t="shared" si="1"/>
        <v>4.2200000000000006</v>
      </c>
      <c r="E321" s="11">
        <v>42.2</v>
      </c>
      <c r="F321" s="11">
        <f t="shared" ref="F321:K321" si="61">E321*10</f>
        <v>422</v>
      </c>
      <c r="G321" s="11">
        <f t="shared" si="61"/>
        <v>4220</v>
      </c>
      <c r="H321" s="11">
        <f t="shared" si="61"/>
        <v>42200</v>
      </c>
      <c r="I321" s="11">
        <f t="shared" si="61"/>
        <v>422000</v>
      </c>
      <c r="J321" s="11">
        <f t="shared" si="61"/>
        <v>4220000</v>
      </c>
      <c r="K321" s="11">
        <f t="shared" si="61"/>
        <v>42200000</v>
      </c>
      <c r="L321" s="11"/>
      <c r="M321" s="11"/>
      <c r="N321" s="11"/>
      <c r="O321" s="11"/>
      <c r="P321" s="11"/>
      <c r="Q321" s="11"/>
      <c r="R321" s="11"/>
      <c r="S321" s="11"/>
      <c r="T321" s="11"/>
      <c r="U321" s="11"/>
      <c r="V321" s="11"/>
      <c r="W321" s="11"/>
      <c r="X321" s="11"/>
    </row>
    <row r="322" spans="1:24" x14ac:dyDescent="0.3">
      <c r="A322" s="24"/>
      <c r="B322" s="11"/>
      <c r="C322" s="11"/>
      <c r="D322" s="11">
        <f t="shared" si="1"/>
        <v>4.32</v>
      </c>
      <c r="E322" s="11">
        <v>43.2</v>
      </c>
      <c r="F322" s="11">
        <f t="shared" ref="F322:K322" si="62">E322*10</f>
        <v>432</v>
      </c>
      <c r="G322" s="11">
        <f t="shared" si="62"/>
        <v>4320</v>
      </c>
      <c r="H322" s="11">
        <f t="shared" si="62"/>
        <v>43200</v>
      </c>
      <c r="I322" s="11">
        <f t="shared" si="62"/>
        <v>432000</v>
      </c>
      <c r="J322" s="11">
        <f t="shared" si="62"/>
        <v>4320000</v>
      </c>
      <c r="K322" s="11">
        <f t="shared" si="62"/>
        <v>43200000</v>
      </c>
      <c r="L322" s="11"/>
      <c r="M322" s="11"/>
      <c r="N322" s="11"/>
      <c r="O322" s="11"/>
      <c r="P322" s="11"/>
      <c r="Q322" s="11"/>
      <c r="R322" s="11"/>
      <c r="S322" s="11"/>
      <c r="T322" s="11"/>
      <c r="U322" s="11"/>
      <c r="V322" s="11"/>
      <c r="W322" s="11"/>
      <c r="X322" s="11"/>
    </row>
    <row r="323" spans="1:24" x14ac:dyDescent="0.3">
      <c r="A323" s="24"/>
      <c r="B323" s="11"/>
      <c r="C323" s="11"/>
      <c r="D323" s="11">
        <f t="shared" si="1"/>
        <v>4.42</v>
      </c>
      <c r="E323" s="11">
        <v>44.2</v>
      </c>
      <c r="F323" s="11">
        <f t="shared" ref="F323:K323" si="63">E323*10</f>
        <v>442</v>
      </c>
      <c r="G323" s="11">
        <f t="shared" si="63"/>
        <v>4420</v>
      </c>
      <c r="H323" s="11">
        <f t="shared" si="63"/>
        <v>44200</v>
      </c>
      <c r="I323" s="11">
        <f t="shared" si="63"/>
        <v>442000</v>
      </c>
      <c r="J323" s="11">
        <f t="shared" si="63"/>
        <v>4420000</v>
      </c>
      <c r="K323" s="11">
        <f t="shared" si="63"/>
        <v>44200000</v>
      </c>
      <c r="L323" s="11"/>
      <c r="M323" s="11"/>
      <c r="N323" s="11"/>
      <c r="O323" s="11"/>
      <c r="P323" s="11"/>
      <c r="Q323" s="11"/>
      <c r="R323" s="11"/>
      <c r="S323" s="11"/>
      <c r="T323" s="11"/>
      <c r="U323" s="11"/>
      <c r="V323" s="11"/>
      <c r="W323" s="11"/>
      <c r="X323" s="11"/>
    </row>
    <row r="324" spans="1:24" x14ac:dyDescent="0.3">
      <c r="A324" s="24"/>
      <c r="B324" s="11"/>
      <c r="C324" s="11"/>
      <c r="D324" s="11">
        <f t="shared" si="1"/>
        <v>4.5299999999999994</v>
      </c>
      <c r="E324" s="11">
        <v>45.3</v>
      </c>
      <c r="F324" s="11">
        <f t="shared" ref="F324:K324" si="64">E324*10</f>
        <v>453</v>
      </c>
      <c r="G324" s="11">
        <f t="shared" si="64"/>
        <v>4530</v>
      </c>
      <c r="H324" s="11">
        <f t="shared" si="64"/>
        <v>45300</v>
      </c>
      <c r="I324" s="11">
        <f t="shared" si="64"/>
        <v>453000</v>
      </c>
      <c r="J324" s="11">
        <f t="shared" si="64"/>
        <v>4530000</v>
      </c>
      <c r="K324" s="11">
        <f t="shared" si="64"/>
        <v>45300000</v>
      </c>
      <c r="L324" s="11"/>
      <c r="M324" s="11"/>
      <c r="N324" s="11"/>
      <c r="O324" s="11"/>
      <c r="P324" s="11"/>
      <c r="Q324" s="11"/>
      <c r="R324" s="11"/>
      <c r="S324" s="11"/>
      <c r="T324" s="11"/>
      <c r="U324" s="11"/>
      <c r="V324" s="11"/>
      <c r="W324" s="11"/>
      <c r="X324" s="11"/>
    </row>
    <row r="325" spans="1:24" x14ac:dyDescent="0.3">
      <c r="A325" s="24"/>
      <c r="B325" s="11"/>
      <c r="C325" s="11"/>
      <c r="D325" s="11">
        <f t="shared" si="1"/>
        <v>4.6399999999999997</v>
      </c>
      <c r="E325" s="11">
        <v>46.4</v>
      </c>
      <c r="F325" s="11">
        <f t="shared" ref="F325:K325" si="65">E325*10</f>
        <v>464</v>
      </c>
      <c r="G325" s="11">
        <f t="shared" si="65"/>
        <v>4640</v>
      </c>
      <c r="H325" s="11">
        <f t="shared" si="65"/>
        <v>46400</v>
      </c>
      <c r="I325" s="11">
        <f t="shared" si="65"/>
        <v>464000</v>
      </c>
      <c r="J325" s="11">
        <f t="shared" si="65"/>
        <v>4640000</v>
      </c>
      <c r="K325" s="11">
        <f t="shared" si="65"/>
        <v>46400000</v>
      </c>
      <c r="L325" s="11"/>
      <c r="M325" s="11"/>
      <c r="N325" s="11"/>
      <c r="O325" s="11"/>
      <c r="P325" s="11"/>
      <c r="Q325" s="11"/>
      <c r="R325" s="11"/>
      <c r="S325" s="11"/>
      <c r="T325" s="11"/>
      <c r="U325" s="11"/>
      <c r="V325" s="11"/>
      <c r="W325" s="11"/>
      <c r="X325" s="11"/>
    </row>
    <row r="326" spans="1:24" x14ac:dyDescent="0.3">
      <c r="A326" s="24"/>
      <c r="B326" s="11"/>
      <c r="C326" s="11"/>
      <c r="D326" s="11">
        <f t="shared" ref="D326:D356" si="66">E326/10</f>
        <v>4.75</v>
      </c>
      <c r="E326" s="11">
        <v>47.5</v>
      </c>
      <c r="F326" s="11">
        <f t="shared" ref="F326:K326" si="67">E326*10</f>
        <v>475</v>
      </c>
      <c r="G326" s="11">
        <f t="shared" si="67"/>
        <v>4750</v>
      </c>
      <c r="H326" s="11">
        <f t="shared" si="67"/>
        <v>47500</v>
      </c>
      <c r="I326" s="11">
        <f t="shared" si="67"/>
        <v>475000</v>
      </c>
      <c r="J326" s="11">
        <f t="shared" si="67"/>
        <v>4750000</v>
      </c>
      <c r="K326" s="11">
        <f t="shared" si="67"/>
        <v>47500000</v>
      </c>
      <c r="L326" s="11"/>
      <c r="M326" s="11"/>
      <c r="N326" s="11"/>
      <c r="O326" s="11"/>
      <c r="P326" s="11"/>
      <c r="Q326" s="11"/>
      <c r="R326" s="11"/>
      <c r="S326" s="11"/>
      <c r="T326" s="11"/>
      <c r="U326" s="11"/>
      <c r="V326" s="11"/>
      <c r="W326" s="11"/>
      <c r="X326" s="11"/>
    </row>
    <row r="327" spans="1:24" x14ac:dyDescent="0.3">
      <c r="A327" s="24"/>
      <c r="B327" s="11"/>
      <c r="C327" s="11"/>
      <c r="D327" s="11">
        <f t="shared" si="66"/>
        <v>4.87</v>
      </c>
      <c r="E327" s="11">
        <v>48.7</v>
      </c>
      <c r="F327" s="11">
        <f t="shared" ref="F327:K327" si="68">E327*10</f>
        <v>487</v>
      </c>
      <c r="G327" s="11">
        <f t="shared" si="68"/>
        <v>4870</v>
      </c>
      <c r="H327" s="11">
        <f t="shared" si="68"/>
        <v>48700</v>
      </c>
      <c r="I327" s="11">
        <f t="shared" si="68"/>
        <v>487000</v>
      </c>
      <c r="J327" s="11">
        <f t="shared" si="68"/>
        <v>4870000</v>
      </c>
      <c r="K327" s="11">
        <f t="shared" si="68"/>
        <v>48700000</v>
      </c>
      <c r="L327" s="11"/>
      <c r="M327" s="11"/>
      <c r="N327" s="11"/>
      <c r="O327" s="11"/>
      <c r="P327" s="11"/>
      <c r="Q327" s="11"/>
      <c r="R327" s="11"/>
      <c r="S327" s="11"/>
      <c r="T327" s="11"/>
      <c r="U327" s="11"/>
      <c r="V327" s="11"/>
      <c r="W327" s="11"/>
      <c r="X327" s="11"/>
    </row>
    <row r="328" spans="1:24" x14ac:dyDescent="0.3">
      <c r="A328" s="24"/>
      <c r="B328" s="11"/>
      <c r="C328" s="11"/>
      <c r="D328" s="11">
        <f t="shared" si="66"/>
        <v>4.99</v>
      </c>
      <c r="E328" s="11">
        <v>49.9</v>
      </c>
      <c r="F328" s="11">
        <f t="shared" ref="F328:K328" si="69">E328*10</f>
        <v>499</v>
      </c>
      <c r="G328" s="11">
        <f t="shared" si="69"/>
        <v>4990</v>
      </c>
      <c r="H328" s="11">
        <f t="shared" si="69"/>
        <v>49900</v>
      </c>
      <c r="I328" s="11">
        <f t="shared" si="69"/>
        <v>499000</v>
      </c>
      <c r="J328" s="11">
        <f t="shared" si="69"/>
        <v>4990000</v>
      </c>
      <c r="K328" s="11">
        <f t="shared" si="69"/>
        <v>49900000</v>
      </c>
      <c r="L328" s="11"/>
      <c r="M328" s="11"/>
      <c r="N328" s="11"/>
      <c r="O328" s="11"/>
      <c r="P328" s="11"/>
      <c r="Q328" s="11"/>
      <c r="R328" s="11"/>
      <c r="S328" s="11"/>
      <c r="T328" s="11"/>
      <c r="U328" s="11"/>
      <c r="V328" s="11"/>
      <c r="W328" s="11"/>
      <c r="X328" s="11"/>
    </row>
    <row r="329" spans="1:24" x14ac:dyDescent="0.3">
      <c r="A329" s="24"/>
      <c r="B329" s="11"/>
      <c r="C329" s="11"/>
      <c r="D329" s="11">
        <f t="shared" si="66"/>
        <v>5.1100000000000003</v>
      </c>
      <c r="E329" s="11">
        <v>51.1</v>
      </c>
      <c r="F329" s="11">
        <f t="shared" ref="F329:K329" si="70">E329*10</f>
        <v>511</v>
      </c>
      <c r="G329" s="11">
        <f t="shared" si="70"/>
        <v>5110</v>
      </c>
      <c r="H329" s="11">
        <f t="shared" si="70"/>
        <v>51100</v>
      </c>
      <c r="I329" s="11">
        <f t="shared" si="70"/>
        <v>511000</v>
      </c>
      <c r="J329" s="11">
        <f t="shared" si="70"/>
        <v>5110000</v>
      </c>
      <c r="K329" s="11">
        <f t="shared" si="70"/>
        <v>51100000</v>
      </c>
      <c r="L329" s="11"/>
      <c r="M329" s="11"/>
      <c r="N329" s="11"/>
      <c r="O329" s="11"/>
      <c r="P329" s="11"/>
      <c r="Q329" s="11"/>
      <c r="R329" s="11"/>
      <c r="S329" s="11"/>
      <c r="T329" s="11"/>
      <c r="U329" s="11"/>
      <c r="V329" s="11"/>
      <c r="W329" s="11"/>
      <c r="X329" s="11"/>
    </row>
    <row r="330" spans="1:24" x14ac:dyDescent="0.3">
      <c r="A330" s="24"/>
      <c r="B330" s="11"/>
      <c r="C330" s="11"/>
      <c r="D330" s="11">
        <f t="shared" si="66"/>
        <v>5.2299999999999995</v>
      </c>
      <c r="E330" s="11">
        <v>52.3</v>
      </c>
      <c r="F330" s="11">
        <f t="shared" ref="F330:K330" si="71">E330*10</f>
        <v>523</v>
      </c>
      <c r="G330" s="11">
        <f t="shared" si="71"/>
        <v>5230</v>
      </c>
      <c r="H330" s="11">
        <f t="shared" si="71"/>
        <v>52300</v>
      </c>
      <c r="I330" s="11">
        <f t="shared" si="71"/>
        <v>523000</v>
      </c>
      <c r="J330" s="11">
        <f t="shared" si="71"/>
        <v>5230000</v>
      </c>
      <c r="K330" s="11">
        <f t="shared" si="71"/>
        <v>52300000</v>
      </c>
      <c r="L330" s="11"/>
      <c r="M330" s="11"/>
      <c r="N330" s="11"/>
      <c r="O330" s="11"/>
      <c r="P330" s="11"/>
      <c r="Q330" s="11"/>
      <c r="R330" s="11"/>
      <c r="S330" s="11"/>
      <c r="T330" s="11"/>
      <c r="U330" s="11"/>
      <c r="V330" s="11"/>
      <c r="W330" s="11"/>
      <c r="X330" s="11"/>
    </row>
    <row r="331" spans="1:24" x14ac:dyDescent="0.3">
      <c r="A331" s="24"/>
      <c r="B331" s="11"/>
      <c r="C331" s="11"/>
      <c r="D331" s="11">
        <f t="shared" si="66"/>
        <v>5.36</v>
      </c>
      <c r="E331" s="11">
        <v>53.6</v>
      </c>
      <c r="F331" s="11">
        <f t="shared" ref="F331:K331" si="72">E331*10</f>
        <v>536</v>
      </c>
      <c r="G331" s="11">
        <f t="shared" si="72"/>
        <v>5360</v>
      </c>
      <c r="H331" s="11">
        <f t="shared" si="72"/>
        <v>53600</v>
      </c>
      <c r="I331" s="11">
        <f t="shared" si="72"/>
        <v>536000</v>
      </c>
      <c r="J331" s="11">
        <f t="shared" si="72"/>
        <v>5360000</v>
      </c>
      <c r="K331" s="11">
        <f t="shared" si="72"/>
        <v>53600000</v>
      </c>
      <c r="L331" s="11"/>
      <c r="M331" s="11"/>
      <c r="N331" s="11"/>
      <c r="O331" s="11"/>
      <c r="P331" s="11"/>
      <c r="Q331" s="11"/>
      <c r="R331" s="11"/>
      <c r="S331" s="11"/>
      <c r="T331" s="11"/>
      <c r="U331" s="11"/>
      <c r="V331" s="11"/>
      <c r="W331" s="11"/>
      <c r="X331" s="11"/>
    </row>
    <row r="332" spans="1:24" x14ac:dyDescent="0.3">
      <c r="A332" s="24"/>
      <c r="B332" s="11"/>
      <c r="C332" s="11"/>
      <c r="D332" s="11">
        <f t="shared" si="66"/>
        <v>5.49</v>
      </c>
      <c r="E332" s="11">
        <v>54.9</v>
      </c>
      <c r="F332" s="11">
        <f t="shared" ref="F332:K332" si="73">E332*10</f>
        <v>549</v>
      </c>
      <c r="G332" s="11">
        <f t="shared" si="73"/>
        <v>5490</v>
      </c>
      <c r="H332" s="11">
        <f t="shared" si="73"/>
        <v>54900</v>
      </c>
      <c r="I332" s="11">
        <f t="shared" si="73"/>
        <v>549000</v>
      </c>
      <c r="J332" s="11">
        <f t="shared" si="73"/>
        <v>5490000</v>
      </c>
      <c r="K332" s="11">
        <f t="shared" si="73"/>
        <v>54900000</v>
      </c>
      <c r="L332" s="11"/>
      <c r="M332" s="11"/>
      <c r="N332" s="11"/>
      <c r="O332" s="11"/>
      <c r="P332" s="11"/>
      <c r="Q332" s="11"/>
      <c r="R332" s="11"/>
      <c r="S332" s="11"/>
      <c r="T332" s="11"/>
      <c r="U332" s="11"/>
      <c r="V332" s="11"/>
      <c r="W332" s="11"/>
      <c r="X332" s="11"/>
    </row>
    <row r="333" spans="1:24" x14ac:dyDescent="0.3">
      <c r="A333" s="24"/>
      <c r="B333" s="11"/>
      <c r="C333" s="11"/>
      <c r="D333" s="11">
        <f t="shared" si="66"/>
        <v>5.62</v>
      </c>
      <c r="E333" s="11">
        <v>56.2</v>
      </c>
      <c r="F333" s="11">
        <f t="shared" ref="F333:K333" si="74">E333*10</f>
        <v>562</v>
      </c>
      <c r="G333" s="11">
        <f t="shared" si="74"/>
        <v>5620</v>
      </c>
      <c r="H333" s="11">
        <f t="shared" si="74"/>
        <v>56200</v>
      </c>
      <c r="I333" s="11">
        <f t="shared" si="74"/>
        <v>562000</v>
      </c>
      <c r="J333" s="11">
        <f t="shared" si="74"/>
        <v>5620000</v>
      </c>
      <c r="K333" s="11">
        <f t="shared" si="74"/>
        <v>56200000</v>
      </c>
      <c r="L333" s="11"/>
      <c r="M333" s="11"/>
      <c r="N333" s="11"/>
      <c r="O333" s="11"/>
      <c r="P333" s="11"/>
      <c r="Q333" s="11"/>
      <c r="R333" s="11"/>
      <c r="S333" s="11"/>
      <c r="T333" s="11"/>
      <c r="U333" s="11"/>
      <c r="V333" s="11"/>
      <c r="W333" s="11"/>
      <c r="X333" s="11"/>
    </row>
    <row r="334" spans="1:24" x14ac:dyDescent="0.3">
      <c r="A334" s="24"/>
      <c r="B334" s="11"/>
      <c r="C334" s="11"/>
      <c r="D334" s="11">
        <f t="shared" si="66"/>
        <v>5.76</v>
      </c>
      <c r="E334" s="11">
        <v>57.6</v>
      </c>
      <c r="F334" s="11">
        <f t="shared" ref="F334:K334" si="75">E334*10</f>
        <v>576</v>
      </c>
      <c r="G334" s="11">
        <f t="shared" si="75"/>
        <v>5760</v>
      </c>
      <c r="H334" s="11">
        <f t="shared" si="75"/>
        <v>57600</v>
      </c>
      <c r="I334" s="11">
        <f t="shared" si="75"/>
        <v>576000</v>
      </c>
      <c r="J334" s="11">
        <f t="shared" si="75"/>
        <v>5760000</v>
      </c>
      <c r="K334" s="11">
        <f t="shared" si="75"/>
        <v>57600000</v>
      </c>
      <c r="L334" s="11"/>
      <c r="M334" s="11"/>
      <c r="N334" s="11"/>
      <c r="O334" s="11"/>
      <c r="P334" s="11"/>
      <c r="Q334" s="11"/>
      <c r="R334" s="11"/>
      <c r="S334" s="11"/>
      <c r="T334" s="11"/>
      <c r="U334" s="11"/>
      <c r="V334" s="11"/>
      <c r="W334" s="11"/>
      <c r="X334" s="11"/>
    </row>
    <row r="335" spans="1:24" x14ac:dyDescent="0.3">
      <c r="A335" s="24"/>
      <c r="B335" s="11"/>
      <c r="C335" s="11"/>
      <c r="D335" s="11">
        <f t="shared" si="66"/>
        <v>5.9</v>
      </c>
      <c r="E335" s="11">
        <v>59</v>
      </c>
      <c r="F335" s="11">
        <f t="shared" ref="F335:K335" si="76">E335*10</f>
        <v>590</v>
      </c>
      <c r="G335" s="11">
        <f t="shared" si="76"/>
        <v>5900</v>
      </c>
      <c r="H335" s="11">
        <f t="shared" si="76"/>
        <v>59000</v>
      </c>
      <c r="I335" s="11">
        <f t="shared" si="76"/>
        <v>590000</v>
      </c>
      <c r="J335" s="11">
        <f t="shared" si="76"/>
        <v>5900000</v>
      </c>
      <c r="K335" s="11">
        <f t="shared" si="76"/>
        <v>59000000</v>
      </c>
      <c r="L335" s="11"/>
      <c r="M335" s="11"/>
      <c r="N335" s="11"/>
      <c r="O335" s="11"/>
      <c r="P335" s="11"/>
      <c r="Q335" s="11"/>
      <c r="R335" s="11"/>
      <c r="S335" s="11"/>
      <c r="T335" s="11"/>
      <c r="U335" s="11"/>
      <c r="V335" s="11"/>
      <c r="W335" s="11"/>
      <c r="X335" s="11"/>
    </row>
    <row r="336" spans="1:24" x14ac:dyDescent="0.3">
      <c r="A336" s="24"/>
      <c r="B336" s="11"/>
      <c r="C336" s="11"/>
      <c r="D336" s="11">
        <f t="shared" si="66"/>
        <v>6.04</v>
      </c>
      <c r="E336" s="11">
        <v>60.4</v>
      </c>
      <c r="F336" s="11">
        <f t="shared" ref="F336:K336" si="77">E336*10</f>
        <v>604</v>
      </c>
      <c r="G336" s="11">
        <f t="shared" si="77"/>
        <v>6040</v>
      </c>
      <c r="H336" s="11">
        <f t="shared" si="77"/>
        <v>60400</v>
      </c>
      <c r="I336" s="11">
        <f t="shared" si="77"/>
        <v>604000</v>
      </c>
      <c r="J336" s="11">
        <f t="shared" si="77"/>
        <v>6040000</v>
      </c>
      <c r="K336" s="11">
        <f t="shared" si="77"/>
        <v>60400000</v>
      </c>
      <c r="L336" s="11"/>
      <c r="M336" s="11"/>
      <c r="N336" s="11"/>
      <c r="O336" s="11"/>
      <c r="P336" s="11"/>
      <c r="Q336" s="11"/>
      <c r="R336" s="11"/>
      <c r="S336" s="11"/>
      <c r="T336" s="11"/>
      <c r="U336" s="11"/>
      <c r="V336" s="11"/>
      <c r="W336" s="11"/>
      <c r="X336" s="11"/>
    </row>
    <row r="337" spans="1:24" x14ac:dyDescent="0.3">
      <c r="A337" s="24"/>
      <c r="B337" s="11"/>
      <c r="C337" s="11"/>
      <c r="D337" s="11">
        <f t="shared" si="66"/>
        <v>6.1899999999999995</v>
      </c>
      <c r="E337" s="11">
        <v>61.9</v>
      </c>
      <c r="F337" s="11">
        <f t="shared" ref="F337:K337" si="78">E337*10</f>
        <v>619</v>
      </c>
      <c r="G337" s="11">
        <f t="shared" si="78"/>
        <v>6190</v>
      </c>
      <c r="H337" s="11">
        <f t="shared" si="78"/>
        <v>61900</v>
      </c>
      <c r="I337" s="11">
        <f t="shared" si="78"/>
        <v>619000</v>
      </c>
      <c r="J337" s="11">
        <f t="shared" si="78"/>
        <v>6190000</v>
      </c>
      <c r="K337" s="11">
        <f t="shared" si="78"/>
        <v>61900000</v>
      </c>
      <c r="L337" s="11"/>
      <c r="M337" s="11"/>
      <c r="N337" s="11"/>
      <c r="O337" s="11"/>
      <c r="P337" s="11"/>
      <c r="Q337" s="11"/>
      <c r="R337" s="11"/>
      <c r="S337" s="11"/>
      <c r="T337" s="11"/>
      <c r="U337" s="11"/>
      <c r="V337" s="11"/>
      <c r="W337" s="11"/>
      <c r="X337" s="11"/>
    </row>
    <row r="338" spans="1:24" x14ac:dyDescent="0.3">
      <c r="A338" s="24"/>
      <c r="B338" s="11"/>
      <c r="C338" s="11"/>
      <c r="D338" s="11">
        <f t="shared" si="66"/>
        <v>6.34</v>
      </c>
      <c r="E338" s="11">
        <v>63.4</v>
      </c>
      <c r="F338" s="11">
        <f t="shared" ref="F338:K338" si="79">E338*10</f>
        <v>634</v>
      </c>
      <c r="G338" s="11">
        <f t="shared" si="79"/>
        <v>6340</v>
      </c>
      <c r="H338" s="11">
        <f t="shared" si="79"/>
        <v>63400</v>
      </c>
      <c r="I338" s="11">
        <f t="shared" si="79"/>
        <v>634000</v>
      </c>
      <c r="J338" s="11">
        <f t="shared" si="79"/>
        <v>6340000</v>
      </c>
      <c r="K338" s="11">
        <f t="shared" si="79"/>
        <v>63400000</v>
      </c>
      <c r="L338" s="11"/>
      <c r="M338" s="11"/>
      <c r="N338" s="11"/>
      <c r="O338" s="11"/>
      <c r="P338" s="11"/>
      <c r="Q338" s="11"/>
      <c r="R338" s="11"/>
      <c r="S338" s="11"/>
      <c r="T338" s="11"/>
      <c r="U338" s="11"/>
      <c r="V338" s="11"/>
      <c r="W338" s="11"/>
      <c r="X338" s="11"/>
    </row>
    <row r="339" spans="1:24" x14ac:dyDescent="0.3">
      <c r="A339" s="24"/>
      <c r="B339" s="11"/>
      <c r="C339" s="11"/>
      <c r="D339" s="11">
        <f t="shared" si="66"/>
        <v>6.49</v>
      </c>
      <c r="E339" s="11">
        <v>64.900000000000006</v>
      </c>
      <c r="F339" s="11">
        <f t="shared" ref="F339:K339" si="80">E339*10</f>
        <v>649</v>
      </c>
      <c r="G339" s="11">
        <f t="shared" si="80"/>
        <v>6490</v>
      </c>
      <c r="H339" s="11">
        <f t="shared" si="80"/>
        <v>64900</v>
      </c>
      <c r="I339" s="11">
        <f t="shared" si="80"/>
        <v>649000</v>
      </c>
      <c r="J339" s="11">
        <f t="shared" si="80"/>
        <v>6490000</v>
      </c>
      <c r="K339" s="11">
        <f t="shared" si="80"/>
        <v>64900000</v>
      </c>
      <c r="L339" s="11"/>
      <c r="M339" s="11"/>
      <c r="N339" s="11"/>
      <c r="O339" s="11"/>
      <c r="P339" s="11"/>
      <c r="Q339" s="11"/>
      <c r="R339" s="11"/>
      <c r="S339" s="11"/>
      <c r="T339" s="11"/>
      <c r="U339" s="11"/>
      <c r="V339" s="11"/>
      <c r="W339" s="11"/>
      <c r="X339" s="11"/>
    </row>
    <row r="340" spans="1:24" x14ac:dyDescent="0.3">
      <c r="A340" s="24"/>
      <c r="B340" s="11"/>
      <c r="C340" s="11"/>
      <c r="D340" s="11">
        <f t="shared" si="66"/>
        <v>6.65</v>
      </c>
      <c r="E340" s="11">
        <v>66.5</v>
      </c>
      <c r="F340" s="11">
        <f t="shared" ref="F340:K340" si="81">E340*10</f>
        <v>665</v>
      </c>
      <c r="G340" s="11">
        <f t="shared" si="81"/>
        <v>6650</v>
      </c>
      <c r="H340" s="11">
        <f t="shared" si="81"/>
        <v>66500</v>
      </c>
      <c r="I340" s="11">
        <f t="shared" si="81"/>
        <v>665000</v>
      </c>
      <c r="J340" s="11">
        <f t="shared" si="81"/>
        <v>6650000</v>
      </c>
      <c r="K340" s="11">
        <f t="shared" si="81"/>
        <v>66500000</v>
      </c>
      <c r="L340" s="11"/>
      <c r="M340" s="11"/>
      <c r="N340" s="11"/>
      <c r="O340" s="11"/>
      <c r="P340" s="11"/>
      <c r="Q340" s="11"/>
      <c r="R340" s="11"/>
      <c r="S340" s="11"/>
      <c r="T340" s="11"/>
      <c r="U340" s="11"/>
      <c r="V340" s="11"/>
      <c r="W340" s="11"/>
      <c r="X340" s="11"/>
    </row>
    <row r="341" spans="1:24" x14ac:dyDescent="0.3">
      <c r="A341" s="24"/>
      <c r="B341" s="11"/>
      <c r="C341" s="11"/>
      <c r="D341" s="11">
        <f t="shared" si="66"/>
        <v>6.81</v>
      </c>
      <c r="E341" s="11">
        <v>68.099999999999994</v>
      </c>
      <c r="F341" s="11">
        <f t="shared" ref="F341:K341" si="82">E341*10</f>
        <v>681</v>
      </c>
      <c r="G341" s="11">
        <f t="shared" si="82"/>
        <v>6810</v>
      </c>
      <c r="H341" s="11">
        <f t="shared" si="82"/>
        <v>68100</v>
      </c>
      <c r="I341" s="11">
        <f t="shared" si="82"/>
        <v>681000</v>
      </c>
      <c r="J341" s="11">
        <f t="shared" si="82"/>
        <v>6810000</v>
      </c>
      <c r="K341" s="11">
        <f t="shared" si="82"/>
        <v>68100000</v>
      </c>
      <c r="L341" s="11"/>
      <c r="M341" s="11"/>
      <c r="N341" s="11"/>
      <c r="O341" s="11"/>
      <c r="P341" s="11"/>
      <c r="Q341" s="11"/>
      <c r="R341" s="11"/>
      <c r="S341" s="11"/>
      <c r="T341" s="11"/>
      <c r="U341" s="11"/>
      <c r="V341" s="11"/>
      <c r="W341" s="11"/>
      <c r="X341" s="11"/>
    </row>
    <row r="342" spans="1:24" x14ac:dyDescent="0.3">
      <c r="A342" s="24"/>
      <c r="B342" s="11"/>
      <c r="C342" s="11"/>
      <c r="D342" s="11">
        <f t="shared" si="66"/>
        <v>6.9799999999999995</v>
      </c>
      <c r="E342" s="11">
        <v>69.8</v>
      </c>
      <c r="F342" s="11">
        <f t="shared" ref="F342:K342" si="83">E342*10</f>
        <v>698</v>
      </c>
      <c r="G342" s="11">
        <f t="shared" si="83"/>
        <v>6980</v>
      </c>
      <c r="H342" s="11">
        <f t="shared" si="83"/>
        <v>69800</v>
      </c>
      <c r="I342" s="11">
        <f t="shared" si="83"/>
        <v>698000</v>
      </c>
      <c r="J342" s="11">
        <f t="shared" si="83"/>
        <v>6980000</v>
      </c>
      <c r="K342" s="11">
        <f t="shared" si="83"/>
        <v>69800000</v>
      </c>
      <c r="L342" s="11"/>
      <c r="M342" s="11"/>
      <c r="N342" s="11"/>
      <c r="O342" s="11"/>
      <c r="P342" s="11"/>
      <c r="Q342" s="11"/>
      <c r="R342" s="11"/>
      <c r="S342" s="11"/>
      <c r="T342" s="11"/>
      <c r="U342" s="11"/>
      <c r="V342" s="11"/>
      <c r="W342" s="11"/>
      <c r="X342" s="11"/>
    </row>
    <row r="343" spans="1:24" x14ac:dyDescent="0.3">
      <c r="A343" s="24"/>
      <c r="B343" s="11"/>
      <c r="C343" s="11"/>
      <c r="D343" s="11">
        <f t="shared" si="66"/>
        <v>7.15</v>
      </c>
      <c r="E343" s="11">
        <v>71.5</v>
      </c>
      <c r="F343" s="11">
        <f t="shared" ref="F343:K343" si="84">E343*10</f>
        <v>715</v>
      </c>
      <c r="G343" s="11">
        <f t="shared" si="84"/>
        <v>7150</v>
      </c>
      <c r="H343" s="11">
        <f t="shared" si="84"/>
        <v>71500</v>
      </c>
      <c r="I343" s="11">
        <f t="shared" si="84"/>
        <v>715000</v>
      </c>
      <c r="J343" s="11">
        <f t="shared" si="84"/>
        <v>7150000</v>
      </c>
      <c r="K343" s="11">
        <f t="shared" si="84"/>
        <v>71500000</v>
      </c>
      <c r="L343" s="11"/>
      <c r="M343" s="11"/>
      <c r="N343" s="11"/>
      <c r="O343" s="11"/>
      <c r="P343" s="11"/>
      <c r="Q343" s="11"/>
      <c r="R343" s="11"/>
      <c r="S343" s="11"/>
      <c r="T343" s="11"/>
      <c r="U343" s="11"/>
      <c r="V343" s="11"/>
      <c r="W343" s="11"/>
      <c r="X343" s="11"/>
    </row>
    <row r="344" spans="1:24" x14ac:dyDescent="0.3">
      <c r="A344" s="24"/>
      <c r="B344" s="11"/>
      <c r="C344" s="11"/>
      <c r="D344" s="11">
        <f t="shared" si="66"/>
        <v>7.32</v>
      </c>
      <c r="E344" s="11">
        <v>73.2</v>
      </c>
      <c r="F344" s="11">
        <f t="shared" ref="F344:K344" si="85">E344*10</f>
        <v>732</v>
      </c>
      <c r="G344" s="11">
        <f t="shared" si="85"/>
        <v>7320</v>
      </c>
      <c r="H344" s="11">
        <f t="shared" si="85"/>
        <v>73200</v>
      </c>
      <c r="I344" s="11">
        <f t="shared" si="85"/>
        <v>732000</v>
      </c>
      <c r="J344" s="11">
        <f t="shared" si="85"/>
        <v>7320000</v>
      </c>
      <c r="K344" s="11">
        <f t="shared" si="85"/>
        <v>73200000</v>
      </c>
      <c r="L344" s="11"/>
      <c r="M344" s="11"/>
      <c r="N344" s="11"/>
      <c r="O344" s="11"/>
      <c r="P344" s="11"/>
      <c r="Q344" s="11"/>
      <c r="R344" s="11"/>
      <c r="S344" s="11"/>
      <c r="T344" s="11"/>
      <c r="U344" s="11"/>
      <c r="V344" s="11"/>
      <c r="W344" s="11"/>
      <c r="X344" s="11"/>
    </row>
    <row r="345" spans="1:24" x14ac:dyDescent="0.3">
      <c r="A345" s="24"/>
      <c r="B345" s="11"/>
      <c r="C345" s="11"/>
      <c r="D345" s="11">
        <f t="shared" si="66"/>
        <v>7.5</v>
      </c>
      <c r="E345" s="11">
        <v>75</v>
      </c>
      <c r="F345" s="11">
        <f t="shared" ref="F345:K345" si="86">E345*10</f>
        <v>750</v>
      </c>
      <c r="G345" s="11">
        <f t="shared" si="86"/>
        <v>7500</v>
      </c>
      <c r="H345" s="11">
        <f t="shared" si="86"/>
        <v>75000</v>
      </c>
      <c r="I345" s="11">
        <f t="shared" si="86"/>
        <v>750000</v>
      </c>
      <c r="J345" s="11">
        <f t="shared" si="86"/>
        <v>7500000</v>
      </c>
      <c r="K345" s="11">
        <f t="shared" si="86"/>
        <v>75000000</v>
      </c>
      <c r="L345" s="11"/>
      <c r="M345" s="11"/>
      <c r="N345" s="11"/>
      <c r="O345" s="11"/>
      <c r="P345" s="11"/>
      <c r="Q345" s="11"/>
      <c r="R345" s="11"/>
      <c r="S345" s="11"/>
      <c r="T345" s="11"/>
      <c r="U345" s="11"/>
      <c r="V345" s="11"/>
      <c r="W345" s="11"/>
      <c r="X345" s="11"/>
    </row>
    <row r="346" spans="1:24" x14ac:dyDescent="0.3">
      <c r="A346" s="24"/>
      <c r="B346" s="11"/>
      <c r="C346" s="11"/>
      <c r="D346" s="11">
        <f t="shared" si="66"/>
        <v>7.68</v>
      </c>
      <c r="E346" s="11">
        <v>76.8</v>
      </c>
      <c r="F346" s="11">
        <f t="shared" ref="F346:K346" si="87">E346*10</f>
        <v>768</v>
      </c>
      <c r="G346" s="11">
        <f t="shared" si="87"/>
        <v>7680</v>
      </c>
      <c r="H346" s="11">
        <f t="shared" si="87"/>
        <v>76800</v>
      </c>
      <c r="I346" s="11">
        <f t="shared" si="87"/>
        <v>768000</v>
      </c>
      <c r="J346" s="11">
        <f t="shared" si="87"/>
        <v>7680000</v>
      </c>
      <c r="K346" s="11">
        <f t="shared" si="87"/>
        <v>76800000</v>
      </c>
      <c r="L346" s="11"/>
      <c r="M346" s="11"/>
      <c r="N346" s="11"/>
      <c r="O346" s="11"/>
      <c r="P346" s="11"/>
      <c r="Q346" s="11"/>
      <c r="R346" s="11"/>
      <c r="S346" s="11"/>
      <c r="T346" s="11"/>
      <c r="U346" s="11"/>
      <c r="V346" s="11"/>
      <c r="W346" s="11"/>
      <c r="X346" s="11"/>
    </row>
    <row r="347" spans="1:24" x14ac:dyDescent="0.3">
      <c r="A347" s="24"/>
      <c r="B347" s="11"/>
      <c r="C347" s="11"/>
      <c r="D347" s="11">
        <f t="shared" si="66"/>
        <v>7.87</v>
      </c>
      <c r="E347" s="11">
        <v>78.7</v>
      </c>
      <c r="F347" s="11">
        <f t="shared" ref="F347:K347" si="88">E347*10</f>
        <v>787</v>
      </c>
      <c r="G347" s="11">
        <f t="shared" si="88"/>
        <v>7870</v>
      </c>
      <c r="H347" s="11">
        <f t="shared" si="88"/>
        <v>78700</v>
      </c>
      <c r="I347" s="11">
        <f t="shared" si="88"/>
        <v>787000</v>
      </c>
      <c r="J347" s="11">
        <f t="shared" si="88"/>
        <v>7870000</v>
      </c>
      <c r="K347" s="11">
        <f t="shared" si="88"/>
        <v>78700000</v>
      </c>
      <c r="L347" s="11"/>
      <c r="M347" s="11"/>
      <c r="N347" s="11"/>
      <c r="O347" s="11"/>
      <c r="P347" s="11"/>
      <c r="Q347" s="11"/>
      <c r="R347" s="11"/>
      <c r="S347" s="11"/>
      <c r="T347" s="11"/>
      <c r="U347" s="11"/>
      <c r="V347" s="11"/>
      <c r="W347" s="11"/>
      <c r="X347" s="11"/>
    </row>
    <row r="348" spans="1:24" x14ac:dyDescent="0.3">
      <c r="A348" s="24"/>
      <c r="B348" s="11"/>
      <c r="C348" s="11"/>
      <c r="D348" s="11">
        <f t="shared" si="66"/>
        <v>8.0599999999999987</v>
      </c>
      <c r="E348" s="11">
        <v>80.599999999999994</v>
      </c>
      <c r="F348" s="11">
        <f t="shared" ref="F348:K348" si="89">E348*10</f>
        <v>806</v>
      </c>
      <c r="G348" s="11">
        <f t="shared" si="89"/>
        <v>8060</v>
      </c>
      <c r="H348" s="11">
        <f t="shared" si="89"/>
        <v>80600</v>
      </c>
      <c r="I348" s="11">
        <f t="shared" si="89"/>
        <v>806000</v>
      </c>
      <c r="J348" s="11">
        <f t="shared" si="89"/>
        <v>8060000</v>
      </c>
      <c r="K348" s="11">
        <f t="shared" si="89"/>
        <v>80600000</v>
      </c>
      <c r="L348" s="11"/>
      <c r="M348" s="11"/>
      <c r="N348" s="11"/>
      <c r="O348" s="11"/>
      <c r="P348" s="11"/>
      <c r="Q348" s="11"/>
      <c r="R348" s="11"/>
      <c r="S348" s="11"/>
      <c r="T348" s="11"/>
      <c r="U348" s="11"/>
      <c r="V348" s="11"/>
      <c r="W348" s="11"/>
      <c r="X348" s="11"/>
    </row>
    <row r="349" spans="1:24" x14ac:dyDescent="0.3">
      <c r="A349" s="24"/>
      <c r="B349" s="11"/>
      <c r="C349" s="11"/>
      <c r="D349" s="11">
        <f t="shared" si="66"/>
        <v>8.25</v>
      </c>
      <c r="E349" s="11">
        <v>82.5</v>
      </c>
      <c r="F349" s="11">
        <f t="shared" ref="F349:K349" si="90">E349*10</f>
        <v>825</v>
      </c>
      <c r="G349" s="11">
        <f t="shared" si="90"/>
        <v>8250</v>
      </c>
      <c r="H349" s="11">
        <f t="shared" si="90"/>
        <v>82500</v>
      </c>
      <c r="I349" s="11">
        <f t="shared" si="90"/>
        <v>825000</v>
      </c>
      <c r="J349" s="11">
        <f t="shared" si="90"/>
        <v>8250000</v>
      </c>
      <c r="K349" s="11">
        <f t="shared" si="90"/>
        <v>82500000</v>
      </c>
      <c r="L349" s="11"/>
      <c r="M349" s="11"/>
      <c r="N349" s="11"/>
      <c r="O349" s="11"/>
      <c r="P349" s="11"/>
      <c r="Q349" s="11"/>
      <c r="R349" s="11"/>
      <c r="S349" s="11"/>
      <c r="T349" s="11"/>
      <c r="U349" s="11"/>
      <c r="V349" s="11"/>
      <c r="W349" s="11"/>
      <c r="X349" s="11"/>
    </row>
    <row r="350" spans="1:24" x14ac:dyDescent="0.3">
      <c r="A350" s="24"/>
      <c r="B350" s="11"/>
      <c r="C350" s="11"/>
      <c r="D350" s="11">
        <f t="shared" si="66"/>
        <v>8.4499999999999993</v>
      </c>
      <c r="E350" s="11">
        <v>84.5</v>
      </c>
      <c r="F350" s="11">
        <f t="shared" ref="F350:K350" si="91">E350*10</f>
        <v>845</v>
      </c>
      <c r="G350" s="11">
        <f t="shared" si="91"/>
        <v>8450</v>
      </c>
      <c r="H350" s="11">
        <f t="shared" si="91"/>
        <v>84500</v>
      </c>
      <c r="I350" s="11">
        <f t="shared" si="91"/>
        <v>845000</v>
      </c>
      <c r="J350" s="11">
        <f t="shared" si="91"/>
        <v>8450000</v>
      </c>
      <c r="K350" s="11">
        <f t="shared" si="91"/>
        <v>84500000</v>
      </c>
      <c r="L350" s="11"/>
      <c r="M350" s="11"/>
      <c r="N350" s="11"/>
      <c r="O350" s="11"/>
      <c r="P350" s="11"/>
      <c r="Q350" s="11"/>
      <c r="R350" s="11"/>
      <c r="S350" s="11"/>
      <c r="T350" s="11"/>
      <c r="U350" s="11"/>
      <c r="V350" s="11"/>
      <c r="W350" s="11"/>
      <c r="X350" s="11"/>
    </row>
    <row r="351" spans="1:24" x14ac:dyDescent="0.3">
      <c r="A351" s="24"/>
      <c r="B351" s="11"/>
      <c r="C351" s="11"/>
      <c r="D351" s="11">
        <f t="shared" si="66"/>
        <v>8.66</v>
      </c>
      <c r="E351" s="11">
        <v>86.6</v>
      </c>
      <c r="F351" s="11">
        <f t="shared" ref="F351:K351" si="92">E351*10</f>
        <v>866</v>
      </c>
      <c r="G351" s="11">
        <f t="shared" si="92"/>
        <v>8660</v>
      </c>
      <c r="H351" s="11">
        <f t="shared" si="92"/>
        <v>86600</v>
      </c>
      <c r="I351" s="11">
        <f t="shared" si="92"/>
        <v>866000</v>
      </c>
      <c r="J351" s="11">
        <f t="shared" si="92"/>
        <v>8660000</v>
      </c>
      <c r="K351" s="11">
        <f t="shared" si="92"/>
        <v>86600000</v>
      </c>
      <c r="L351" s="11"/>
      <c r="M351" s="11"/>
      <c r="N351" s="11"/>
      <c r="O351" s="11"/>
      <c r="P351" s="11"/>
      <c r="Q351" s="11"/>
      <c r="R351" s="11"/>
      <c r="S351" s="11"/>
      <c r="T351" s="11"/>
      <c r="U351" s="11"/>
      <c r="V351" s="11"/>
      <c r="W351" s="11"/>
      <c r="X351" s="11"/>
    </row>
    <row r="352" spans="1:24" x14ac:dyDescent="0.3">
      <c r="A352" s="24"/>
      <c r="B352" s="11"/>
      <c r="C352" s="11"/>
      <c r="D352" s="11">
        <f t="shared" si="66"/>
        <v>8.870000000000001</v>
      </c>
      <c r="E352" s="11">
        <v>88.7</v>
      </c>
      <c r="F352" s="11">
        <f t="shared" ref="F352:K352" si="93">E352*10</f>
        <v>887</v>
      </c>
      <c r="G352" s="11">
        <f t="shared" si="93"/>
        <v>8870</v>
      </c>
      <c r="H352" s="11">
        <f t="shared" si="93"/>
        <v>88700</v>
      </c>
      <c r="I352" s="11">
        <f t="shared" si="93"/>
        <v>887000</v>
      </c>
      <c r="J352" s="11">
        <f t="shared" si="93"/>
        <v>8870000</v>
      </c>
      <c r="K352" s="11">
        <f t="shared" si="93"/>
        <v>88700000</v>
      </c>
      <c r="L352" s="11"/>
      <c r="M352" s="11"/>
      <c r="N352" s="11"/>
      <c r="O352" s="11"/>
      <c r="P352" s="11"/>
      <c r="Q352" s="11"/>
      <c r="R352" s="11"/>
      <c r="S352" s="11"/>
      <c r="T352" s="11"/>
      <c r="U352" s="11"/>
      <c r="V352" s="11"/>
      <c r="W352" s="11"/>
      <c r="X352" s="11"/>
    </row>
    <row r="353" spans="1:24" x14ac:dyDescent="0.3">
      <c r="A353" s="24"/>
      <c r="B353" s="11"/>
      <c r="C353" s="11"/>
      <c r="D353" s="11">
        <f t="shared" si="66"/>
        <v>9.09</v>
      </c>
      <c r="E353" s="11">
        <v>90.9</v>
      </c>
      <c r="F353" s="11">
        <f t="shared" ref="F353:K353" si="94">E353*10</f>
        <v>909</v>
      </c>
      <c r="G353" s="11">
        <f t="shared" si="94"/>
        <v>9090</v>
      </c>
      <c r="H353" s="11">
        <f t="shared" si="94"/>
        <v>90900</v>
      </c>
      <c r="I353" s="11">
        <f t="shared" si="94"/>
        <v>909000</v>
      </c>
      <c r="J353" s="11">
        <f t="shared" si="94"/>
        <v>9090000</v>
      </c>
      <c r="K353" s="11">
        <f t="shared" si="94"/>
        <v>90900000</v>
      </c>
      <c r="L353" s="11"/>
      <c r="M353" s="11"/>
      <c r="N353" s="11"/>
      <c r="O353" s="11"/>
      <c r="P353" s="11"/>
      <c r="Q353" s="11"/>
      <c r="R353" s="11"/>
      <c r="S353" s="11"/>
      <c r="T353" s="11"/>
      <c r="U353" s="11"/>
      <c r="V353" s="11"/>
      <c r="W353" s="11"/>
      <c r="X353" s="11"/>
    </row>
    <row r="354" spans="1:24" x14ac:dyDescent="0.3">
      <c r="A354" s="24"/>
      <c r="B354" s="11"/>
      <c r="C354" s="11"/>
      <c r="D354" s="11">
        <f t="shared" si="66"/>
        <v>9.3099999999999987</v>
      </c>
      <c r="E354" s="11">
        <v>93.1</v>
      </c>
      <c r="F354" s="11">
        <f t="shared" ref="F354:K354" si="95">E354*10</f>
        <v>931</v>
      </c>
      <c r="G354" s="11">
        <f t="shared" si="95"/>
        <v>9310</v>
      </c>
      <c r="H354" s="11">
        <f t="shared" si="95"/>
        <v>93100</v>
      </c>
      <c r="I354" s="11">
        <f t="shared" si="95"/>
        <v>931000</v>
      </c>
      <c r="J354" s="11">
        <f t="shared" si="95"/>
        <v>9310000</v>
      </c>
      <c r="K354" s="11">
        <f t="shared" si="95"/>
        <v>93100000</v>
      </c>
      <c r="L354" s="11"/>
      <c r="M354" s="11"/>
      <c r="N354" s="11"/>
      <c r="O354" s="11"/>
      <c r="P354" s="11"/>
      <c r="Q354" s="11"/>
      <c r="R354" s="11"/>
      <c r="S354" s="11"/>
      <c r="T354" s="11"/>
      <c r="U354" s="11"/>
      <c r="V354" s="11"/>
      <c r="W354" s="11"/>
      <c r="X354" s="11"/>
    </row>
    <row r="355" spans="1:24" x14ac:dyDescent="0.3">
      <c r="A355" s="24"/>
      <c r="B355" s="11"/>
      <c r="C355" s="11"/>
      <c r="D355" s="11">
        <f t="shared" si="66"/>
        <v>9.5299999999999994</v>
      </c>
      <c r="E355" s="11">
        <v>95.3</v>
      </c>
      <c r="F355" s="11">
        <f t="shared" ref="F355:K355" si="96">E355*10</f>
        <v>953</v>
      </c>
      <c r="G355" s="11">
        <f t="shared" si="96"/>
        <v>9530</v>
      </c>
      <c r="H355" s="11">
        <f t="shared" si="96"/>
        <v>95300</v>
      </c>
      <c r="I355" s="11">
        <f t="shared" si="96"/>
        <v>953000</v>
      </c>
      <c r="J355" s="11">
        <f t="shared" si="96"/>
        <v>9530000</v>
      </c>
      <c r="K355" s="11">
        <f t="shared" si="96"/>
        <v>95300000</v>
      </c>
      <c r="L355" s="11"/>
      <c r="M355" s="11"/>
      <c r="N355" s="11"/>
      <c r="O355" s="11"/>
      <c r="P355" s="11"/>
      <c r="Q355" s="11"/>
      <c r="R355" s="11"/>
      <c r="S355" s="11"/>
      <c r="T355" s="11"/>
      <c r="U355" s="11"/>
      <c r="V355" s="11"/>
      <c r="W355" s="11"/>
      <c r="X355" s="11"/>
    </row>
    <row r="356" spans="1:24" x14ac:dyDescent="0.3">
      <c r="A356" s="24"/>
      <c r="B356" s="11"/>
      <c r="C356" s="11"/>
      <c r="D356" s="11">
        <f t="shared" si="66"/>
        <v>9.76</v>
      </c>
      <c r="E356" s="11">
        <v>97.6</v>
      </c>
      <c r="F356" s="11">
        <f t="shared" ref="F356:K356" si="97">E356*10</f>
        <v>976</v>
      </c>
      <c r="G356" s="11">
        <f t="shared" si="97"/>
        <v>9760</v>
      </c>
      <c r="H356" s="11">
        <f t="shared" si="97"/>
        <v>97600</v>
      </c>
      <c r="I356" s="11">
        <f t="shared" si="97"/>
        <v>976000</v>
      </c>
      <c r="J356" s="11">
        <f t="shared" si="97"/>
        <v>9760000</v>
      </c>
      <c r="K356" s="11">
        <f t="shared" si="97"/>
        <v>97600000</v>
      </c>
      <c r="L356" s="11"/>
      <c r="M356" s="11"/>
      <c r="N356" s="11"/>
      <c r="O356" s="11"/>
      <c r="P356" s="11"/>
      <c r="Q356" s="11"/>
      <c r="R356" s="11"/>
      <c r="S356" s="11"/>
      <c r="T356" s="11"/>
      <c r="U356" s="11"/>
      <c r="V356" s="11"/>
      <c r="W356" s="11"/>
      <c r="X356" s="11"/>
    </row>
    <row r="357" spans="1:24" x14ac:dyDescent="0.3">
      <c r="B357" s="11"/>
      <c r="C357" s="11"/>
      <c r="D357" s="11"/>
      <c r="E357" s="11"/>
      <c r="F357" s="11"/>
      <c r="G357" s="11"/>
      <c r="H357" s="11"/>
      <c r="I357" s="11"/>
      <c r="J357" s="11"/>
      <c r="K357" s="11"/>
      <c r="L357" s="11"/>
      <c r="M357" s="11"/>
      <c r="N357" s="11"/>
      <c r="O357" s="11"/>
      <c r="P357" s="11"/>
      <c r="Q357" s="11"/>
      <c r="R357" s="11"/>
      <c r="S357" s="11"/>
      <c r="T357" s="11"/>
      <c r="U357" s="11"/>
      <c r="V357" s="11"/>
      <c r="W357" s="11"/>
      <c r="X357" s="11"/>
    </row>
    <row r="358" spans="1:24" x14ac:dyDescent="0.3">
      <c r="B358" s="11"/>
      <c r="C358" s="11"/>
      <c r="D358" s="11"/>
      <c r="E358" s="11"/>
      <c r="F358" s="11"/>
      <c r="G358" s="11"/>
      <c r="H358" s="11"/>
      <c r="I358" s="11"/>
      <c r="J358" s="11"/>
      <c r="K358" s="11"/>
      <c r="L358" s="11"/>
      <c r="M358" s="11"/>
      <c r="N358" s="11"/>
      <c r="O358" s="11"/>
      <c r="P358" s="11"/>
      <c r="Q358" s="11"/>
      <c r="R358" s="11"/>
      <c r="S358" s="11"/>
      <c r="T358" s="11"/>
      <c r="U358" s="11"/>
      <c r="V358" s="11"/>
      <c r="W358" s="11"/>
      <c r="X358" s="11"/>
    </row>
    <row r="359" spans="1:24" x14ac:dyDescent="0.3">
      <c r="B359" s="11"/>
      <c r="C359" s="11"/>
      <c r="D359" s="11"/>
      <c r="E359" s="11"/>
      <c r="F359" s="11"/>
      <c r="G359" s="11"/>
      <c r="H359" s="11"/>
      <c r="I359" s="11"/>
      <c r="J359" s="11"/>
      <c r="K359" s="11"/>
      <c r="L359" s="11"/>
      <c r="M359" s="11"/>
      <c r="N359" s="11"/>
      <c r="O359" s="11"/>
      <c r="P359" s="11"/>
      <c r="Q359" s="11"/>
      <c r="R359" s="11"/>
      <c r="S359" s="11"/>
      <c r="T359" s="11"/>
      <c r="U359" s="11"/>
      <c r="V359" s="11"/>
      <c r="W359" s="11"/>
      <c r="X359" s="11"/>
    </row>
  </sheetData>
  <sheetProtection algorithmName="SHA-512" hashValue="yZrizoVW6L0qSYd8PYUrF6A4IZwq+C6X7YUXXFAiWrDez0vs6muGvAqsr05eN3mo6svV0NpAjneE2c4VqmjO7w==" saltValue="mzYHvFEYldTAiCdpyRjTcQ==" spinCount="100000" sheet="1" objects="1" scenarios="1"/>
  <mergeCells count="9">
    <mergeCell ref="F1:M3"/>
    <mergeCell ref="O44:O51"/>
    <mergeCell ref="P88:Q88"/>
    <mergeCell ref="B32:D32"/>
    <mergeCell ref="A36:A40"/>
    <mergeCell ref="B37:D37"/>
    <mergeCell ref="B8:D8"/>
    <mergeCell ref="B17:D17"/>
    <mergeCell ref="B24:D24"/>
  </mergeCells>
  <dataValidations count="7">
    <dataValidation type="custom" allowBlank="1" showInputMessage="1" showErrorMessage="1" errorTitle="Too high for current trim" error="Reduce IOUT_MAX or chose a part number with a higher current trim if available." sqref="C14" xr:uid="{00000000-0002-0000-0000-000000000000}">
      <formula1>C14&lt;=Q9</formula1>
    </dataValidation>
    <dataValidation type="custom" allowBlank="1" showInputMessage="1" showErrorMessage="1" errorTitle="Frequency Not Valid" error="Frequency not valid. Chose a value between 200kHz and 2200kHz." sqref="C15" xr:uid="{00000000-0002-0000-0000-000001000000}">
      <formula1>AND(C15&lt;=2200,C15&gt;=200)</formula1>
    </dataValidation>
    <dataValidation type="decimal" allowBlank="1" showInputMessage="1" showErrorMessage="1" error="Enable divider UVLO must be between 3V and 36V. Internal VIN UVLO = 3V. Max VIN = 36V." sqref="C40" xr:uid="{00000000-0002-0000-0000-000002000000}">
      <formula1>3</formula1>
      <formula2>36</formula2>
    </dataValidation>
    <dataValidation type="decimal" allowBlank="1" showInputMessage="1" showErrorMessage="1" error="VOUT must be between 1V and VIN_NOM. Maximum VOUT = VIN - VDROP (see datasheet dropout curves)" sqref="C13" xr:uid="{00000000-0002-0000-0000-000003000000}">
      <formula1>1</formula1>
      <formula2>C11</formula2>
    </dataValidation>
    <dataValidation type="list" allowBlank="1" showInputMessage="1" showErrorMessage="1" sqref="C9" xr:uid="{00000000-0002-0000-0000-000004000000}">
      <formula1>$Q$82:$Q$84</formula1>
    </dataValidation>
    <dataValidation type="list" allowBlank="1" showInputMessage="1" showErrorMessage="1" sqref="C50" xr:uid="{00000000-0002-0000-0000-000005000000}">
      <formula1>$S$82:$S$84</formula1>
    </dataValidation>
    <dataValidation type="list" allowBlank="1" showInputMessage="1" showErrorMessage="1" sqref="C48" xr:uid="{00000000-0002-0000-0000-000006000000}">
      <formula1>$R$82:$R$83</formula1>
    </dataValidation>
  </dataValidations>
  <pageMargins left="0.7" right="0.7" top="0.75" bottom="0.75" header="0.3" footer="0.3"/>
  <pageSetup orientation="portrait" r:id="rId1"/>
  <ignoredErrors>
    <ignoredError sqref="Q39" formula="1"/>
    <ignoredError sqref="Q65" evalError="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69"/>
  <sheetViews>
    <sheetView topLeftCell="A70" workbookViewId="0">
      <selection activeCell="A83" sqref="A83"/>
    </sheetView>
  </sheetViews>
  <sheetFormatPr defaultRowHeight="14.4" x14ac:dyDescent="0.3"/>
  <cols>
    <col min="2" max="2" width="13.44140625" bestFit="1" customWidth="1"/>
    <col min="3" max="3" width="17.77734375" bestFit="1" customWidth="1"/>
  </cols>
  <sheetData>
    <row r="1" spans="1:3" x14ac:dyDescent="0.3">
      <c r="A1">
        <v>1</v>
      </c>
      <c r="B1" s="3"/>
      <c r="C1">
        <f>INDEX(A1:A769,MATCH(12,A1:A769))</f>
        <v>11.8</v>
      </c>
    </row>
    <row r="2" spans="1:3" x14ac:dyDescent="0.3">
      <c r="A2">
        <v>1.02</v>
      </c>
      <c r="B2" s="3"/>
    </row>
    <row r="3" spans="1:3" x14ac:dyDescent="0.3">
      <c r="A3">
        <v>1.05</v>
      </c>
      <c r="B3" s="3"/>
    </row>
    <row r="4" spans="1:3" x14ac:dyDescent="0.3">
      <c r="A4">
        <v>1.0699999999999998</v>
      </c>
      <c r="B4" s="3"/>
    </row>
    <row r="5" spans="1:3" x14ac:dyDescent="0.3">
      <c r="A5">
        <v>1.1000000000000001</v>
      </c>
      <c r="B5" s="3"/>
    </row>
    <row r="6" spans="1:3" x14ac:dyDescent="0.3">
      <c r="A6">
        <v>1.1300000000000001</v>
      </c>
      <c r="B6" s="3"/>
    </row>
    <row r="7" spans="1:3" x14ac:dyDescent="0.3">
      <c r="A7">
        <v>1.1499999999999999</v>
      </c>
      <c r="B7" s="3"/>
    </row>
    <row r="8" spans="1:3" x14ac:dyDescent="0.3">
      <c r="A8">
        <v>1.1800000000000002</v>
      </c>
      <c r="B8" s="3"/>
    </row>
    <row r="9" spans="1:3" x14ac:dyDescent="0.3">
      <c r="A9">
        <v>1.21</v>
      </c>
    </row>
    <row r="10" spans="1:3" x14ac:dyDescent="0.3">
      <c r="A10">
        <v>1.24</v>
      </c>
    </row>
    <row r="11" spans="1:3" x14ac:dyDescent="0.3">
      <c r="A11">
        <v>1.27</v>
      </c>
    </row>
    <row r="12" spans="1:3" x14ac:dyDescent="0.3">
      <c r="A12">
        <v>1.3</v>
      </c>
    </row>
    <row r="13" spans="1:3" x14ac:dyDescent="0.3">
      <c r="A13">
        <v>1.33</v>
      </c>
    </row>
    <row r="14" spans="1:3" x14ac:dyDescent="0.3">
      <c r="A14">
        <v>1.3699999999999999</v>
      </c>
    </row>
    <row r="15" spans="1:3" x14ac:dyDescent="0.3">
      <c r="A15">
        <v>1.4</v>
      </c>
    </row>
    <row r="16" spans="1:3" x14ac:dyDescent="0.3">
      <c r="A16">
        <v>1.4300000000000002</v>
      </c>
    </row>
    <row r="17" spans="1:1" x14ac:dyDescent="0.3">
      <c r="A17">
        <v>1.47</v>
      </c>
    </row>
    <row r="18" spans="1:1" x14ac:dyDescent="0.3">
      <c r="A18">
        <v>1.5</v>
      </c>
    </row>
    <row r="19" spans="1:1" x14ac:dyDescent="0.3">
      <c r="A19">
        <v>1.54</v>
      </c>
    </row>
    <row r="20" spans="1:1" x14ac:dyDescent="0.3">
      <c r="A20">
        <v>1.58</v>
      </c>
    </row>
    <row r="21" spans="1:1" x14ac:dyDescent="0.3">
      <c r="A21">
        <v>1.6199999999999999</v>
      </c>
    </row>
    <row r="22" spans="1:1" x14ac:dyDescent="0.3">
      <c r="A22">
        <v>1.65</v>
      </c>
    </row>
    <row r="23" spans="1:1" x14ac:dyDescent="0.3">
      <c r="A23">
        <v>1.69</v>
      </c>
    </row>
    <row r="24" spans="1:1" x14ac:dyDescent="0.3">
      <c r="A24">
        <v>1.7399999999999998</v>
      </c>
    </row>
    <row r="25" spans="1:1" x14ac:dyDescent="0.3">
      <c r="A25">
        <v>1.78</v>
      </c>
    </row>
    <row r="26" spans="1:1" x14ac:dyDescent="0.3">
      <c r="A26">
        <v>1.8199999999999998</v>
      </c>
    </row>
    <row r="27" spans="1:1" x14ac:dyDescent="0.3">
      <c r="A27">
        <v>1.8699999999999999</v>
      </c>
    </row>
    <row r="28" spans="1:1" x14ac:dyDescent="0.3">
      <c r="A28">
        <v>1.9100000000000001</v>
      </c>
    </row>
    <row r="29" spans="1:1" x14ac:dyDescent="0.3">
      <c r="A29">
        <v>1.9600000000000002</v>
      </c>
    </row>
    <row r="30" spans="1:1" x14ac:dyDescent="0.3">
      <c r="A30">
        <v>2</v>
      </c>
    </row>
    <row r="31" spans="1:1" x14ac:dyDescent="0.3">
      <c r="A31">
        <v>2.0499999999999998</v>
      </c>
    </row>
    <row r="32" spans="1:1" x14ac:dyDescent="0.3">
      <c r="A32">
        <v>2.1</v>
      </c>
    </row>
    <row r="33" spans="1:1" x14ac:dyDescent="0.3">
      <c r="A33">
        <v>2.15</v>
      </c>
    </row>
    <row r="34" spans="1:1" x14ac:dyDescent="0.3">
      <c r="A34">
        <v>2.21</v>
      </c>
    </row>
    <row r="35" spans="1:1" x14ac:dyDescent="0.3">
      <c r="A35">
        <v>2.2600000000000002</v>
      </c>
    </row>
    <row r="36" spans="1:1" x14ac:dyDescent="0.3">
      <c r="A36">
        <v>2.3199999999999998</v>
      </c>
    </row>
    <row r="37" spans="1:1" x14ac:dyDescent="0.3">
      <c r="A37">
        <v>2.37</v>
      </c>
    </row>
    <row r="38" spans="1:1" x14ac:dyDescent="0.3">
      <c r="A38">
        <v>2.4300000000000002</v>
      </c>
    </row>
    <row r="39" spans="1:1" x14ac:dyDescent="0.3">
      <c r="A39">
        <v>2.4899999999999998</v>
      </c>
    </row>
    <row r="40" spans="1:1" x14ac:dyDescent="0.3">
      <c r="A40">
        <v>2.5499999999999998</v>
      </c>
    </row>
    <row r="41" spans="1:1" x14ac:dyDescent="0.3">
      <c r="A41">
        <v>2.6100000000000003</v>
      </c>
    </row>
    <row r="42" spans="1:1" x14ac:dyDescent="0.3">
      <c r="A42">
        <v>2.67</v>
      </c>
    </row>
    <row r="43" spans="1:1" x14ac:dyDescent="0.3">
      <c r="A43">
        <v>2.7399999999999998</v>
      </c>
    </row>
    <row r="44" spans="1:1" x14ac:dyDescent="0.3">
      <c r="A44">
        <v>2.8</v>
      </c>
    </row>
    <row r="45" spans="1:1" x14ac:dyDescent="0.3">
      <c r="A45">
        <v>2.87</v>
      </c>
    </row>
    <row r="46" spans="1:1" x14ac:dyDescent="0.3">
      <c r="A46">
        <v>2.94</v>
      </c>
    </row>
    <row r="47" spans="1:1" x14ac:dyDescent="0.3">
      <c r="A47">
        <v>3.0100000000000002</v>
      </c>
    </row>
    <row r="48" spans="1:1" x14ac:dyDescent="0.3">
      <c r="A48">
        <v>3.09</v>
      </c>
    </row>
    <row r="49" spans="1:1" x14ac:dyDescent="0.3">
      <c r="A49">
        <v>3.16</v>
      </c>
    </row>
    <row r="50" spans="1:1" x14ac:dyDescent="0.3">
      <c r="A50">
        <v>3.2399999999999998</v>
      </c>
    </row>
    <row r="51" spans="1:1" x14ac:dyDescent="0.3">
      <c r="A51">
        <v>3.3200000000000003</v>
      </c>
    </row>
    <row r="52" spans="1:1" x14ac:dyDescent="0.3">
      <c r="A52">
        <v>3.4</v>
      </c>
    </row>
    <row r="53" spans="1:1" x14ac:dyDescent="0.3">
      <c r="A53">
        <v>3.4799999999999995</v>
      </c>
    </row>
    <row r="54" spans="1:1" x14ac:dyDescent="0.3">
      <c r="A54">
        <v>3.5700000000000003</v>
      </c>
    </row>
    <row r="55" spans="1:1" x14ac:dyDescent="0.3">
      <c r="A55">
        <v>3.65</v>
      </c>
    </row>
    <row r="56" spans="1:1" x14ac:dyDescent="0.3">
      <c r="A56">
        <v>3.7399999999999998</v>
      </c>
    </row>
    <row r="57" spans="1:1" x14ac:dyDescent="0.3">
      <c r="A57">
        <v>3.8299999999999996</v>
      </c>
    </row>
    <row r="58" spans="1:1" x14ac:dyDescent="0.3">
      <c r="A58">
        <v>3.9200000000000004</v>
      </c>
    </row>
    <row r="59" spans="1:1" x14ac:dyDescent="0.3">
      <c r="A59">
        <v>4.0200000000000005</v>
      </c>
    </row>
    <row r="60" spans="1:1" x14ac:dyDescent="0.3">
      <c r="A60">
        <v>4.12</v>
      </c>
    </row>
    <row r="61" spans="1:1" x14ac:dyDescent="0.3">
      <c r="A61">
        <v>4.2200000000000006</v>
      </c>
    </row>
    <row r="62" spans="1:1" x14ac:dyDescent="0.3">
      <c r="A62">
        <v>4.32</v>
      </c>
    </row>
    <row r="63" spans="1:1" x14ac:dyDescent="0.3">
      <c r="A63">
        <v>4.42</v>
      </c>
    </row>
    <row r="64" spans="1:1" x14ac:dyDescent="0.3">
      <c r="A64">
        <v>4.5299999999999994</v>
      </c>
    </row>
    <row r="65" spans="1:1" x14ac:dyDescent="0.3">
      <c r="A65">
        <v>4.6399999999999997</v>
      </c>
    </row>
    <row r="66" spans="1:1" x14ac:dyDescent="0.3">
      <c r="A66">
        <v>4.75</v>
      </c>
    </row>
    <row r="67" spans="1:1" x14ac:dyDescent="0.3">
      <c r="A67">
        <v>4.87</v>
      </c>
    </row>
    <row r="68" spans="1:1" x14ac:dyDescent="0.3">
      <c r="A68">
        <v>4.99</v>
      </c>
    </row>
    <row r="69" spans="1:1" x14ac:dyDescent="0.3">
      <c r="A69">
        <v>5.1100000000000003</v>
      </c>
    </row>
    <row r="70" spans="1:1" x14ac:dyDescent="0.3">
      <c r="A70">
        <v>5.2299999999999995</v>
      </c>
    </row>
    <row r="71" spans="1:1" x14ac:dyDescent="0.3">
      <c r="A71">
        <v>5.36</v>
      </c>
    </row>
    <row r="72" spans="1:1" x14ac:dyDescent="0.3">
      <c r="A72">
        <v>5.49</v>
      </c>
    </row>
    <row r="73" spans="1:1" x14ac:dyDescent="0.3">
      <c r="A73">
        <v>5.62</v>
      </c>
    </row>
    <row r="74" spans="1:1" x14ac:dyDescent="0.3">
      <c r="A74">
        <v>5.76</v>
      </c>
    </row>
    <row r="75" spans="1:1" x14ac:dyDescent="0.3">
      <c r="A75">
        <v>5.9</v>
      </c>
    </row>
    <row r="76" spans="1:1" x14ac:dyDescent="0.3">
      <c r="A76">
        <v>6.04</v>
      </c>
    </row>
    <row r="77" spans="1:1" x14ac:dyDescent="0.3">
      <c r="A77">
        <v>6.1899999999999995</v>
      </c>
    </row>
    <row r="78" spans="1:1" x14ac:dyDescent="0.3">
      <c r="A78">
        <v>6.34</v>
      </c>
    </row>
    <row r="79" spans="1:1" x14ac:dyDescent="0.3">
      <c r="A79">
        <v>6.49</v>
      </c>
    </row>
    <row r="80" spans="1:1" x14ac:dyDescent="0.3">
      <c r="A80">
        <v>6.65</v>
      </c>
    </row>
    <row r="81" spans="1:1" x14ac:dyDescent="0.3">
      <c r="A81">
        <v>6.81</v>
      </c>
    </row>
    <row r="82" spans="1:1" x14ac:dyDescent="0.3">
      <c r="A82">
        <v>6.9799999999999995</v>
      </c>
    </row>
    <row r="83" spans="1:1" x14ac:dyDescent="0.3">
      <c r="A83">
        <v>7.15</v>
      </c>
    </row>
    <row r="84" spans="1:1" x14ac:dyDescent="0.3">
      <c r="A84">
        <v>7.32</v>
      </c>
    </row>
    <row r="85" spans="1:1" x14ac:dyDescent="0.3">
      <c r="A85">
        <v>7.5</v>
      </c>
    </row>
    <row r="86" spans="1:1" x14ac:dyDescent="0.3">
      <c r="A86">
        <v>7.68</v>
      </c>
    </row>
    <row r="87" spans="1:1" x14ac:dyDescent="0.3">
      <c r="A87">
        <v>7.87</v>
      </c>
    </row>
    <row r="88" spans="1:1" x14ac:dyDescent="0.3">
      <c r="A88">
        <v>8.0599999999999987</v>
      </c>
    </row>
    <row r="89" spans="1:1" x14ac:dyDescent="0.3">
      <c r="A89">
        <v>8.25</v>
      </c>
    </row>
    <row r="90" spans="1:1" x14ac:dyDescent="0.3">
      <c r="A90">
        <v>8.4499999999999993</v>
      </c>
    </row>
    <row r="91" spans="1:1" x14ac:dyDescent="0.3">
      <c r="A91">
        <v>8.66</v>
      </c>
    </row>
    <row r="92" spans="1:1" x14ac:dyDescent="0.3">
      <c r="A92">
        <v>8.870000000000001</v>
      </c>
    </row>
    <row r="93" spans="1:1" x14ac:dyDescent="0.3">
      <c r="A93">
        <v>9.09</v>
      </c>
    </row>
    <row r="94" spans="1:1" x14ac:dyDescent="0.3">
      <c r="A94">
        <v>9.3099999999999987</v>
      </c>
    </row>
    <row r="95" spans="1:1" x14ac:dyDescent="0.3">
      <c r="A95">
        <v>9.5299999999999994</v>
      </c>
    </row>
    <row r="96" spans="1:1" x14ac:dyDescent="0.3">
      <c r="A96">
        <v>9.76</v>
      </c>
    </row>
    <row r="97" spans="1:1" x14ac:dyDescent="0.3">
      <c r="A97">
        <f>A1*10</f>
        <v>10</v>
      </c>
    </row>
    <row r="98" spans="1:1" x14ac:dyDescent="0.3">
      <c r="A98">
        <f t="shared" ref="A98:A161" si="0">A2*10</f>
        <v>10.199999999999999</v>
      </c>
    </row>
    <row r="99" spans="1:1" x14ac:dyDescent="0.3">
      <c r="A99">
        <f t="shared" si="0"/>
        <v>10.5</v>
      </c>
    </row>
    <row r="100" spans="1:1" x14ac:dyDescent="0.3">
      <c r="A100">
        <f t="shared" si="0"/>
        <v>10.7</v>
      </c>
    </row>
    <row r="101" spans="1:1" x14ac:dyDescent="0.3">
      <c r="A101">
        <f t="shared" si="0"/>
        <v>11</v>
      </c>
    </row>
    <row r="102" spans="1:1" x14ac:dyDescent="0.3">
      <c r="A102">
        <f t="shared" si="0"/>
        <v>11.3</v>
      </c>
    </row>
    <row r="103" spans="1:1" x14ac:dyDescent="0.3">
      <c r="A103">
        <f t="shared" si="0"/>
        <v>11.5</v>
      </c>
    </row>
    <row r="104" spans="1:1" x14ac:dyDescent="0.3">
      <c r="A104">
        <f t="shared" si="0"/>
        <v>11.8</v>
      </c>
    </row>
    <row r="105" spans="1:1" x14ac:dyDescent="0.3">
      <c r="A105">
        <f t="shared" si="0"/>
        <v>12.1</v>
      </c>
    </row>
    <row r="106" spans="1:1" x14ac:dyDescent="0.3">
      <c r="A106">
        <f t="shared" si="0"/>
        <v>12.4</v>
      </c>
    </row>
    <row r="107" spans="1:1" x14ac:dyDescent="0.3">
      <c r="A107">
        <f t="shared" si="0"/>
        <v>12.7</v>
      </c>
    </row>
    <row r="108" spans="1:1" x14ac:dyDescent="0.3">
      <c r="A108">
        <f t="shared" si="0"/>
        <v>13</v>
      </c>
    </row>
    <row r="109" spans="1:1" x14ac:dyDescent="0.3">
      <c r="A109">
        <f t="shared" si="0"/>
        <v>13.3</v>
      </c>
    </row>
    <row r="110" spans="1:1" x14ac:dyDescent="0.3">
      <c r="A110">
        <f t="shared" si="0"/>
        <v>13.7</v>
      </c>
    </row>
    <row r="111" spans="1:1" x14ac:dyDescent="0.3">
      <c r="A111">
        <f t="shared" si="0"/>
        <v>14</v>
      </c>
    </row>
    <row r="112" spans="1:1" x14ac:dyDescent="0.3">
      <c r="A112">
        <f t="shared" si="0"/>
        <v>14.3</v>
      </c>
    </row>
    <row r="113" spans="1:1" x14ac:dyDescent="0.3">
      <c r="A113">
        <f t="shared" si="0"/>
        <v>14.7</v>
      </c>
    </row>
    <row r="114" spans="1:1" x14ac:dyDescent="0.3">
      <c r="A114">
        <f t="shared" si="0"/>
        <v>15</v>
      </c>
    </row>
    <row r="115" spans="1:1" x14ac:dyDescent="0.3">
      <c r="A115">
        <f t="shared" si="0"/>
        <v>15.4</v>
      </c>
    </row>
    <row r="116" spans="1:1" x14ac:dyDescent="0.3">
      <c r="A116">
        <f t="shared" si="0"/>
        <v>15.8</v>
      </c>
    </row>
    <row r="117" spans="1:1" x14ac:dyDescent="0.3">
      <c r="A117">
        <f t="shared" si="0"/>
        <v>16.2</v>
      </c>
    </row>
    <row r="118" spans="1:1" x14ac:dyDescent="0.3">
      <c r="A118">
        <f t="shared" si="0"/>
        <v>16.5</v>
      </c>
    </row>
    <row r="119" spans="1:1" x14ac:dyDescent="0.3">
      <c r="A119">
        <f t="shared" si="0"/>
        <v>16.899999999999999</v>
      </c>
    </row>
    <row r="120" spans="1:1" x14ac:dyDescent="0.3">
      <c r="A120">
        <f t="shared" si="0"/>
        <v>17.399999999999999</v>
      </c>
    </row>
    <row r="121" spans="1:1" x14ac:dyDescent="0.3">
      <c r="A121">
        <f t="shared" si="0"/>
        <v>17.8</v>
      </c>
    </row>
    <row r="122" spans="1:1" x14ac:dyDescent="0.3">
      <c r="A122">
        <f t="shared" si="0"/>
        <v>18.2</v>
      </c>
    </row>
    <row r="123" spans="1:1" x14ac:dyDescent="0.3">
      <c r="A123">
        <f t="shared" si="0"/>
        <v>18.7</v>
      </c>
    </row>
    <row r="124" spans="1:1" x14ac:dyDescent="0.3">
      <c r="A124">
        <f t="shared" si="0"/>
        <v>19.100000000000001</v>
      </c>
    </row>
    <row r="125" spans="1:1" x14ac:dyDescent="0.3">
      <c r="A125">
        <f t="shared" si="0"/>
        <v>19.600000000000001</v>
      </c>
    </row>
    <row r="126" spans="1:1" x14ac:dyDescent="0.3">
      <c r="A126">
        <f t="shared" si="0"/>
        <v>20</v>
      </c>
    </row>
    <row r="127" spans="1:1" x14ac:dyDescent="0.3">
      <c r="A127">
        <f t="shared" si="0"/>
        <v>20.5</v>
      </c>
    </row>
    <row r="128" spans="1:1" x14ac:dyDescent="0.3">
      <c r="A128">
        <f t="shared" si="0"/>
        <v>21</v>
      </c>
    </row>
    <row r="129" spans="1:1" x14ac:dyDescent="0.3">
      <c r="A129">
        <f t="shared" si="0"/>
        <v>21.5</v>
      </c>
    </row>
    <row r="130" spans="1:1" x14ac:dyDescent="0.3">
      <c r="A130">
        <f t="shared" si="0"/>
        <v>22.1</v>
      </c>
    </row>
    <row r="131" spans="1:1" x14ac:dyDescent="0.3">
      <c r="A131">
        <f t="shared" si="0"/>
        <v>22.6</v>
      </c>
    </row>
    <row r="132" spans="1:1" x14ac:dyDescent="0.3">
      <c r="A132">
        <f t="shared" si="0"/>
        <v>23.2</v>
      </c>
    </row>
    <row r="133" spans="1:1" x14ac:dyDescent="0.3">
      <c r="A133">
        <f t="shared" si="0"/>
        <v>23.700000000000003</v>
      </c>
    </row>
    <row r="134" spans="1:1" x14ac:dyDescent="0.3">
      <c r="A134">
        <f t="shared" si="0"/>
        <v>24.3</v>
      </c>
    </row>
    <row r="135" spans="1:1" x14ac:dyDescent="0.3">
      <c r="A135">
        <f t="shared" si="0"/>
        <v>24.9</v>
      </c>
    </row>
    <row r="136" spans="1:1" x14ac:dyDescent="0.3">
      <c r="A136">
        <f t="shared" si="0"/>
        <v>25.5</v>
      </c>
    </row>
    <row r="137" spans="1:1" x14ac:dyDescent="0.3">
      <c r="A137">
        <f t="shared" si="0"/>
        <v>26.1</v>
      </c>
    </row>
    <row r="138" spans="1:1" x14ac:dyDescent="0.3">
      <c r="A138">
        <f t="shared" si="0"/>
        <v>26.7</v>
      </c>
    </row>
    <row r="139" spans="1:1" x14ac:dyDescent="0.3">
      <c r="A139">
        <f t="shared" si="0"/>
        <v>27.4</v>
      </c>
    </row>
    <row r="140" spans="1:1" x14ac:dyDescent="0.3">
      <c r="A140">
        <f t="shared" si="0"/>
        <v>28</v>
      </c>
    </row>
    <row r="141" spans="1:1" x14ac:dyDescent="0.3">
      <c r="A141">
        <f t="shared" si="0"/>
        <v>28.700000000000003</v>
      </c>
    </row>
    <row r="142" spans="1:1" x14ac:dyDescent="0.3">
      <c r="A142">
        <f t="shared" si="0"/>
        <v>29.4</v>
      </c>
    </row>
    <row r="143" spans="1:1" x14ac:dyDescent="0.3">
      <c r="A143">
        <f t="shared" si="0"/>
        <v>30.1</v>
      </c>
    </row>
    <row r="144" spans="1:1" x14ac:dyDescent="0.3">
      <c r="A144">
        <f t="shared" si="0"/>
        <v>30.9</v>
      </c>
    </row>
    <row r="145" spans="1:1" x14ac:dyDescent="0.3">
      <c r="A145">
        <f t="shared" si="0"/>
        <v>31.6</v>
      </c>
    </row>
    <row r="146" spans="1:1" x14ac:dyDescent="0.3">
      <c r="A146">
        <f t="shared" si="0"/>
        <v>32.4</v>
      </c>
    </row>
    <row r="147" spans="1:1" x14ac:dyDescent="0.3">
      <c r="A147">
        <f t="shared" si="0"/>
        <v>33.200000000000003</v>
      </c>
    </row>
    <row r="148" spans="1:1" x14ac:dyDescent="0.3">
      <c r="A148">
        <f t="shared" si="0"/>
        <v>34</v>
      </c>
    </row>
    <row r="149" spans="1:1" x14ac:dyDescent="0.3">
      <c r="A149">
        <f t="shared" si="0"/>
        <v>34.799999999999997</v>
      </c>
    </row>
    <row r="150" spans="1:1" x14ac:dyDescent="0.3">
      <c r="A150">
        <f t="shared" si="0"/>
        <v>35.700000000000003</v>
      </c>
    </row>
    <row r="151" spans="1:1" x14ac:dyDescent="0.3">
      <c r="A151">
        <f t="shared" si="0"/>
        <v>36.5</v>
      </c>
    </row>
    <row r="152" spans="1:1" x14ac:dyDescent="0.3">
      <c r="A152">
        <f t="shared" si="0"/>
        <v>37.4</v>
      </c>
    </row>
    <row r="153" spans="1:1" x14ac:dyDescent="0.3">
      <c r="A153">
        <f t="shared" si="0"/>
        <v>38.299999999999997</v>
      </c>
    </row>
    <row r="154" spans="1:1" x14ac:dyDescent="0.3">
      <c r="A154">
        <f t="shared" si="0"/>
        <v>39.200000000000003</v>
      </c>
    </row>
    <row r="155" spans="1:1" x14ac:dyDescent="0.3">
      <c r="A155">
        <f t="shared" si="0"/>
        <v>40.200000000000003</v>
      </c>
    </row>
    <row r="156" spans="1:1" x14ac:dyDescent="0.3">
      <c r="A156">
        <f t="shared" si="0"/>
        <v>41.2</v>
      </c>
    </row>
    <row r="157" spans="1:1" x14ac:dyDescent="0.3">
      <c r="A157">
        <f t="shared" si="0"/>
        <v>42.2</v>
      </c>
    </row>
    <row r="158" spans="1:1" x14ac:dyDescent="0.3">
      <c r="A158">
        <f t="shared" si="0"/>
        <v>43.2</v>
      </c>
    </row>
    <row r="159" spans="1:1" x14ac:dyDescent="0.3">
      <c r="A159">
        <f t="shared" si="0"/>
        <v>44.2</v>
      </c>
    </row>
    <row r="160" spans="1:1" x14ac:dyDescent="0.3">
      <c r="A160">
        <f t="shared" si="0"/>
        <v>45.3</v>
      </c>
    </row>
    <row r="161" spans="1:1" x14ac:dyDescent="0.3">
      <c r="A161">
        <f t="shared" si="0"/>
        <v>46.4</v>
      </c>
    </row>
    <row r="162" spans="1:1" x14ac:dyDescent="0.3">
      <c r="A162">
        <f t="shared" ref="A162:A225" si="1">A66*10</f>
        <v>47.5</v>
      </c>
    </row>
    <row r="163" spans="1:1" x14ac:dyDescent="0.3">
      <c r="A163">
        <f t="shared" si="1"/>
        <v>48.7</v>
      </c>
    </row>
    <row r="164" spans="1:1" x14ac:dyDescent="0.3">
      <c r="A164">
        <f t="shared" si="1"/>
        <v>49.900000000000006</v>
      </c>
    </row>
    <row r="165" spans="1:1" x14ac:dyDescent="0.3">
      <c r="A165">
        <f t="shared" si="1"/>
        <v>51.1</v>
      </c>
    </row>
    <row r="166" spans="1:1" x14ac:dyDescent="0.3">
      <c r="A166">
        <f t="shared" si="1"/>
        <v>52.3</v>
      </c>
    </row>
    <row r="167" spans="1:1" x14ac:dyDescent="0.3">
      <c r="A167">
        <f t="shared" si="1"/>
        <v>53.6</v>
      </c>
    </row>
    <row r="168" spans="1:1" x14ac:dyDescent="0.3">
      <c r="A168">
        <f t="shared" si="1"/>
        <v>54.900000000000006</v>
      </c>
    </row>
    <row r="169" spans="1:1" x14ac:dyDescent="0.3">
      <c r="A169">
        <f t="shared" si="1"/>
        <v>56.2</v>
      </c>
    </row>
    <row r="170" spans="1:1" x14ac:dyDescent="0.3">
      <c r="A170">
        <f t="shared" si="1"/>
        <v>57.599999999999994</v>
      </c>
    </row>
    <row r="171" spans="1:1" x14ac:dyDescent="0.3">
      <c r="A171">
        <f t="shared" si="1"/>
        <v>59</v>
      </c>
    </row>
    <row r="172" spans="1:1" x14ac:dyDescent="0.3">
      <c r="A172">
        <f t="shared" si="1"/>
        <v>60.4</v>
      </c>
    </row>
    <row r="173" spans="1:1" x14ac:dyDescent="0.3">
      <c r="A173">
        <f t="shared" si="1"/>
        <v>61.899999999999991</v>
      </c>
    </row>
    <row r="174" spans="1:1" x14ac:dyDescent="0.3">
      <c r="A174">
        <f t="shared" si="1"/>
        <v>63.4</v>
      </c>
    </row>
    <row r="175" spans="1:1" x14ac:dyDescent="0.3">
      <c r="A175">
        <f t="shared" si="1"/>
        <v>64.900000000000006</v>
      </c>
    </row>
    <row r="176" spans="1:1" x14ac:dyDescent="0.3">
      <c r="A176">
        <f t="shared" si="1"/>
        <v>66.5</v>
      </c>
    </row>
    <row r="177" spans="1:1" x14ac:dyDescent="0.3">
      <c r="A177">
        <f t="shared" si="1"/>
        <v>68.099999999999994</v>
      </c>
    </row>
    <row r="178" spans="1:1" x14ac:dyDescent="0.3">
      <c r="A178">
        <f t="shared" si="1"/>
        <v>69.8</v>
      </c>
    </row>
    <row r="179" spans="1:1" x14ac:dyDescent="0.3">
      <c r="A179">
        <f t="shared" si="1"/>
        <v>71.5</v>
      </c>
    </row>
    <row r="180" spans="1:1" x14ac:dyDescent="0.3">
      <c r="A180">
        <f t="shared" si="1"/>
        <v>73.2</v>
      </c>
    </row>
    <row r="181" spans="1:1" x14ac:dyDescent="0.3">
      <c r="A181">
        <f t="shared" si="1"/>
        <v>75</v>
      </c>
    </row>
    <row r="182" spans="1:1" x14ac:dyDescent="0.3">
      <c r="A182">
        <f t="shared" si="1"/>
        <v>76.8</v>
      </c>
    </row>
    <row r="183" spans="1:1" x14ac:dyDescent="0.3">
      <c r="A183">
        <f t="shared" si="1"/>
        <v>78.7</v>
      </c>
    </row>
    <row r="184" spans="1:1" x14ac:dyDescent="0.3">
      <c r="A184">
        <f t="shared" si="1"/>
        <v>80.599999999999994</v>
      </c>
    </row>
    <row r="185" spans="1:1" x14ac:dyDescent="0.3">
      <c r="A185">
        <f t="shared" si="1"/>
        <v>82.5</v>
      </c>
    </row>
    <row r="186" spans="1:1" x14ac:dyDescent="0.3">
      <c r="A186">
        <f t="shared" si="1"/>
        <v>84.5</v>
      </c>
    </row>
    <row r="187" spans="1:1" x14ac:dyDescent="0.3">
      <c r="A187">
        <f t="shared" si="1"/>
        <v>86.6</v>
      </c>
    </row>
    <row r="188" spans="1:1" x14ac:dyDescent="0.3">
      <c r="A188">
        <f t="shared" si="1"/>
        <v>88.700000000000017</v>
      </c>
    </row>
    <row r="189" spans="1:1" x14ac:dyDescent="0.3">
      <c r="A189">
        <f t="shared" si="1"/>
        <v>90.9</v>
      </c>
    </row>
    <row r="190" spans="1:1" x14ac:dyDescent="0.3">
      <c r="A190">
        <f t="shared" si="1"/>
        <v>93.1</v>
      </c>
    </row>
    <row r="191" spans="1:1" x14ac:dyDescent="0.3">
      <c r="A191">
        <f t="shared" si="1"/>
        <v>95.3</v>
      </c>
    </row>
    <row r="192" spans="1:1" x14ac:dyDescent="0.3">
      <c r="A192">
        <f t="shared" si="1"/>
        <v>97.6</v>
      </c>
    </row>
    <row r="193" spans="1:1" x14ac:dyDescent="0.3">
      <c r="A193">
        <f t="shared" si="1"/>
        <v>100</v>
      </c>
    </row>
    <row r="194" spans="1:1" x14ac:dyDescent="0.3">
      <c r="A194">
        <f t="shared" si="1"/>
        <v>102</v>
      </c>
    </row>
    <row r="195" spans="1:1" x14ac:dyDescent="0.3">
      <c r="A195">
        <f t="shared" si="1"/>
        <v>105</v>
      </c>
    </row>
    <row r="196" spans="1:1" x14ac:dyDescent="0.3">
      <c r="A196">
        <f t="shared" si="1"/>
        <v>107</v>
      </c>
    </row>
    <row r="197" spans="1:1" x14ac:dyDescent="0.3">
      <c r="A197">
        <f t="shared" si="1"/>
        <v>110</v>
      </c>
    </row>
    <row r="198" spans="1:1" x14ac:dyDescent="0.3">
      <c r="A198">
        <f t="shared" si="1"/>
        <v>113</v>
      </c>
    </row>
    <row r="199" spans="1:1" x14ac:dyDescent="0.3">
      <c r="A199">
        <f t="shared" si="1"/>
        <v>115</v>
      </c>
    </row>
    <row r="200" spans="1:1" x14ac:dyDescent="0.3">
      <c r="A200">
        <f t="shared" si="1"/>
        <v>118</v>
      </c>
    </row>
    <row r="201" spans="1:1" x14ac:dyDescent="0.3">
      <c r="A201">
        <f t="shared" si="1"/>
        <v>121</v>
      </c>
    </row>
    <row r="202" spans="1:1" x14ac:dyDescent="0.3">
      <c r="A202">
        <f t="shared" si="1"/>
        <v>124</v>
      </c>
    </row>
    <row r="203" spans="1:1" x14ac:dyDescent="0.3">
      <c r="A203">
        <f t="shared" si="1"/>
        <v>127</v>
      </c>
    </row>
    <row r="204" spans="1:1" x14ac:dyDescent="0.3">
      <c r="A204">
        <f t="shared" si="1"/>
        <v>130</v>
      </c>
    </row>
    <row r="205" spans="1:1" x14ac:dyDescent="0.3">
      <c r="A205">
        <f t="shared" si="1"/>
        <v>133</v>
      </c>
    </row>
    <row r="206" spans="1:1" x14ac:dyDescent="0.3">
      <c r="A206">
        <f t="shared" si="1"/>
        <v>137</v>
      </c>
    </row>
    <row r="207" spans="1:1" x14ac:dyDescent="0.3">
      <c r="A207">
        <f t="shared" si="1"/>
        <v>140</v>
      </c>
    </row>
    <row r="208" spans="1:1" x14ac:dyDescent="0.3">
      <c r="A208">
        <f t="shared" si="1"/>
        <v>143</v>
      </c>
    </row>
    <row r="209" spans="1:1" x14ac:dyDescent="0.3">
      <c r="A209">
        <f t="shared" si="1"/>
        <v>147</v>
      </c>
    </row>
    <row r="210" spans="1:1" x14ac:dyDescent="0.3">
      <c r="A210">
        <f t="shared" si="1"/>
        <v>150</v>
      </c>
    </row>
    <row r="211" spans="1:1" x14ac:dyDescent="0.3">
      <c r="A211">
        <f t="shared" si="1"/>
        <v>154</v>
      </c>
    </row>
    <row r="212" spans="1:1" x14ac:dyDescent="0.3">
      <c r="A212">
        <f t="shared" si="1"/>
        <v>158</v>
      </c>
    </row>
    <row r="213" spans="1:1" x14ac:dyDescent="0.3">
      <c r="A213">
        <f t="shared" si="1"/>
        <v>162</v>
      </c>
    </row>
    <row r="214" spans="1:1" x14ac:dyDescent="0.3">
      <c r="A214">
        <f t="shared" si="1"/>
        <v>165</v>
      </c>
    </row>
    <row r="215" spans="1:1" x14ac:dyDescent="0.3">
      <c r="A215">
        <f t="shared" si="1"/>
        <v>169</v>
      </c>
    </row>
    <row r="216" spans="1:1" x14ac:dyDescent="0.3">
      <c r="A216">
        <f t="shared" si="1"/>
        <v>174</v>
      </c>
    </row>
    <row r="217" spans="1:1" x14ac:dyDescent="0.3">
      <c r="A217">
        <f t="shared" si="1"/>
        <v>178</v>
      </c>
    </row>
    <row r="218" spans="1:1" x14ac:dyDescent="0.3">
      <c r="A218">
        <f t="shared" si="1"/>
        <v>182</v>
      </c>
    </row>
    <row r="219" spans="1:1" x14ac:dyDescent="0.3">
      <c r="A219">
        <f t="shared" si="1"/>
        <v>187</v>
      </c>
    </row>
    <row r="220" spans="1:1" x14ac:dyDescent="0.3">
      <c r="A220">
        <f t="shared" si="1"/>
        <v>191</v>
      </c>
    </row>
    <row r="221" spans="1:1" x14ac:dyDescent="0.3">
      <c r="A221">
        <f t="shared" si="1"/>
        <v>196</v>
      </c>
    </row>
    <row r="222" spans="1:1" x14ac:dyDescent="0.3">
      <c r="A222">
        <f t="shared" si="1"/>
        <v>200</v>
      </c>
    </row>
    <row r="223" spans="1:1" x14ac:dyDescent="0.3">
      <c r="A223">
        <f t="shared" si="1"/>
        <v>205</v>
      </c>
    </row>
    <row r="224" spans="1:1" x14ac:dyDescent="0.3">
      <c r="A224">
        <f t="shared" si="1"/>
        <v>210</v>
      </c>
    </row>
    <row r="225" spans="1:1" x14ac:dyDescent="0.3">
      <c r="A225">
        <f t="shared" si="1"/>
        <v>215</v>
      </c>
    </row>
    <row r="226" spans="1:1" x14ac:dyDescent="0.3">
      <c r="A226">
        <f t="shared" ref="A226:A289" si="2">A130*10</f>
        <v>221</v>
      </c>
    </row>
    <row r="227" spans="1:1" x14ac:dyDescent="0.3">
      <c r="A227">
        <f t="shared" si="2"/>
        <v>226</v>
      </c>
    </row>
    <row r="228" spans="1:1" x14ac:dyDescent="0.3">
      <c r="A228">
        <f t="shared" si="2"/>
        <v>232</v>
      </c>
    </row>
    <row r="229" spans="1:1" x14ac:dyDescent="0.3">
      <c r="A229">
        <f t="shared" si="2"/>
        <v>237.00000000000003</v>
      </c>
    </row>
    <row r="230" spans="1:1" x14ac:dyDescent="0.3">
      <c r="A230">
        <f t="shared" si="2"/>
        <v>243</v>
      </c>
    </row>
    <row r="231" spans="1:1" x14ac:dyDescent="0.3">
      <c r="A231">
        <f t="shared" si="2"/>
        <v>249</v>
      </c>
    </row>
    <row r="232" spans="1:1" x14ac:dyDescent="0.3">
      <c r="A232">
        <f t="shared" si="2"/>
        <v>255</v>
      </c>
    </row>
    <row r="233" spans="1:1" x14ac:dyDescent="0.3">
      <c r="A233">
        <f t="shared" si="2"/>
        <v>261</v>
      </c>
    </row>
    <row r="234" spans="1:1" x14ac:dyDescent="0.3">
      <c r="A234">
        <f t="shared" si="2"/>
        <v>267</v>
      </c>
    </row>
    <row r="235" spans="1:1" x14ac:dyDescent="0.3">
      <c r="A235">
        <f t="shared" si="2"/>
        <v>274</v>
      </c>
    </row>
    <row r="236" spans="1:1" x14ac:dyDescent="0.3">
      <c r="A236">
        <f t="shared" si="2"/>
        <v>280</v>
      </c>
    </row>
    <row r="237" spans="1:1" x14ac:dyDescent="0.3">
      <c r="A237">
        <f t="shared" si="2"/>
        <v>287</v>
      </c>
    </row>
    <row r="238" spans="1:1" x14ac:dyDescent="0.3">
      <c r="A238">
        <f t="shared" si="2"/>
        <v>294</v>
      </c>
    </row>
    <row r="239" spans="1:1" x14ac:dyDescent="0.3">
      <c r="A239">
        <f t="shared" si="2"/>
        <v>301</v>
      </c>
    </row>
    <row r="240" spans="1:1" x14ac:dyDescent="0.3">
      <c r="A240">
        <f t="shared" si="2"/>
        <v>309</v>
      </c>
    </row>
    <row r="241" spans="1:1" x14ac:dyDescent="0.3">
      <c r="A241">
        <f t="shared" si="2"/>
        <v>316</v>
      </c>
    </row>
    <row r="242" spans="1:1" x14ac:dyDescent="0.3">
      <c r="A242">
        <f t="shared" si="2"/>
        <v>324</v>
      </c>
    </row>
    <row r="243" spans="1:1" x14ac:dyDescent="0.3">
      <c r="A243">
        <f t="shared" si="2"/>
        <v>332</v>
      </c>
    </row>
    <row r="244" spans="1:1" x14ac:dyDescent="0.3">
      <c r="A244">
        <f t="shared" si="2"/>
        <v>340</v>
      </c>
    </row>
    <row r="245" spans="1:1" x14ac:dyDescent="0.3">
      <c r="A245">
        <f t="shared" si="2"/>
        <v>348</v>
      </c>
    </row>
    <row r="246" spans="1:1" x14ac:dyDescent="0.3">
      <c r="A246">
        <f t="shared" si="2"/>
        <v>357</v>
      </c>
    </row>
    <row r="247" spans="1:1" x14ac:dyDescent="0.3">
      <c r="A247">
        <f t="shared" si="2"/>
        <v>365</v>
      </c>
    </row>
    <row r="248" spans="1:1" x14ac:dyDescent="0.3">
      <c r="A248">
        <f t="shared" si="2"/>
        <v>374</v>
      </c>
    </row>
    <row r="249" spans="1:1" x14ac:dyDescent="0.3">
      <c r="A249">
        <f t="shared" si="2"/>
        <v>383</v>
      </c>
    </row>
    <row r="250" spans="1:1" x14ac:dyDescent="0.3">
      <c r="A250">
        <f t="shared" si="2"/>
        <v>392</v>
      </c>
    </row>
    <row r="251" spans="1:1" x14ac:dyDescent="0.3">
      <c r="A251">
        <f t="shared" si="2"/>
        <v>402</v>
      </c>
    </row>
    <row r="252" spans="1:1" x14ac:dyDescent="0.3">
      <c r="A252">
        <f t="shared" si="2"/>
        <v>412</v>
      </c>
    </row>
    <row r="253" spans="1:1" x14ac:dyDescent="0.3">
      <c r="A253">
        <f t="shared" si="2"/>
        <v>422</v>
      </c>
    </row>
    <row r="254" spans="1:1" x14ac:dyDescent="0.3">
      <c r="A254">
        <f t="shared" si="2"/>
        <v>432</v>
      </c>
    </row>
    <row r="255" spans="1:1" x14ac:dyDescent="0.3">
      <c r="A255">
        <f t="shared" si="2"/>
        <v>442</v>
      </c>
    </row>
    <row r="256" spans="1:1" x14ac:dyDescent="0.3">
      <c r="A256">
        <f t="shared" si="2"/>
        <v>453</v>
      </c>
    </row>
    <row r="257" spans="1:1" x14ac:dyDescent="0.3">
      <c r="A257">
        <f t="shared" si="2"/>
        <v>464</v>
      </c>
    </row>
    <row r="258" spans="1:1" x14ac:dyDescent="0.3">
      <c r="A258">
        <f t="shared" si="2"/>
        <v>475</v>
      </c>
    </row>
    <row r="259" spans="1:1" x14ac:dyDescent="0.3">
      <c r="A259">
        <f t="shared" si="2"/>
        <v>487</v>
      </c>
    </row>
    <row r="260" spans="1:1" x14ac:dyDescent="0.3">
      <c r="A260">
        <f t="shared" si="2"/>
        <v>499.00000000000006</v>
      </c>
    </row>
    <row r="261" spans="1:1" x14ac:dyDescent="0.3">
      <c r="A261">
        <f t="shared" si="2"/>
        <v>511</v>
      </c>
    </row>
    <row r="262" spans="1:1" x14ac:dyDescent="0.3">
      <c r="A262">
        <f t="shared" si="2"/>
        <v>523</v>
      </c>
    </row>
    <row r="263" spans="1:1" x14ac:dyDescent="0.3">
      <c r="A263">
        <f t="shared" si="2"/>
        <v>536</v>
      </c>
    </row>
    <row r="264" spans="1:1" x14ac:dyDescent="0.3">
      <c r="A264">
        <f t="shared" si="2"/>
        <v>549</v>
      </c>
    </row>
    <row r="265" spans="1:1" x14ac:dyDescent="0.3">
      <c r="A265">
        <f t="shared" si="2"/>
        <v>562</v>
      </c>
    </row>
    <row r="266" spans="1:1" x14ac:dyDescent="0.3">
      <c r="A266">
        <f t="shared" si="2"/>
        <v>576</v>
      </c>
    </row>
    <row r="267" spans="1:1" x14ac:dyDescent="0.3">
      <c r="A267">
        <f t="shared" si="2"/>
        <v>590</v>
      </c>
    </row>
    <row r="268" spans="1:1" x14ac:dyDescent="0.3">
      <c r="A268">
        <f t="shared" si="2"/>
        <v>604</v>
      </c>
    </row>
    <row r="269" spans="1:1" x14ac:dyDescent="0.3">
      <c r="A269">
        <f t="shared" si="2"/>
        <v>618.99999999999989</v>
      </c>
    </row>
    <row r="270" spans="1:1" x14ac:dyDescent="0.3">
      <c r="A270">
        <f t="shared" si="2"/>
        <v>634</v>
      </c>
    </row>
    <row r="271" spans="1:1" x14ac:dyDescent="0.3">
      <c r="A271">
        <f t="shared" si="2"/>
        <v>649</v>
      </c>
    </row>
    <row r="272" spans="1:1" x14ac:dyDescent="0.3">
      <c r="A272">
        <f t="shared" si="2"/>
        <v>665</v>
      </c>
    </row>
    <row r="273" spans="1:1" x14ac:dyDescent="0.3">
      <c r="A273">
        <f t="shared" si="2"/>
        <v>681</v>
      </c>
    </row>
    <row r="274" spans="1:1" x14ac:dyDescent="0.3">
      <c r="A274">
        <f t="shared" si="2"/>
        <v>698</v>
      </c>
    </row>
    <row r="275" spans="1:1" x14ac:dyDescent="0.3">
      <c r="A275">
        <f t="shared" si="2"/>
        <v>715</v>
      </c>
    </row>
    <row r="276" spans="1:1" x14ac:dyDescent="0.3">
      <c r="A276">
        <f t="shared" si="2"/>
        <v>732</v>
      </c>
    </row>
    <row r="277" spans="1:1" x14ac:dyDescent="0.3">
      <c r="A277">
        <f t="shared" si="2"/>
        <v>750</v>
      </c>
    </row>
    <row r="278" spans="1:1" x14ac:dyDescent="0.3">
      <c r="A278">
        <f t="shared" si="2"/>
        <v>768</v>
      </c>
    </row>
    <row r="279" spans="1:1" x14ac:dyDescent="0.3">
      <c r="A279">
        <f t="shared" si="2"/>
        <v>787</v>
      </c>
    </row>
    <row r="280" spans="1:1" x14ac:dyDescent="0.3">
      <c r="A280">
        <f t="shared" si="2"/>
        <v>806</v>
      </c>
    </row>
    <row r="281" spans="1:1" x14ac:dyDescent="0.3">
      <c r="A281">
        <f t="shared" si="2"/>
        <v>825</v>
      </c>
    </row>
    <row r="282" spans="1:1" x14ac:dyDescent="0.3">
      <c r="A282">
        <f t="shared" si="2"/>
        <v>845</v>
      </c>
    </row>
    <row r="283" spans="1:1" x14ac:dyDescent="0.3">
      <c r="A283">
        <f t="shared" si="2"/>
        <v>866</v>
      </c>
    </row>
    <row r="284" spans="1:1" x14ac:dyDescent="0.3">
      <c r="A284">
        <f t="shared" si="2"/>
        <v>887.00000000000023</v>
      </c>
    </row>
    <row r="285" spans="1:1" x14ac:dyDescent="0.3">
      <c r="A285">
        <f t="shared" si="2"/>
        <v>909</v>
      </c>
    </row>
    <row r="286" spans="1:1" x14ac:dyDescent="0.3">
      <c r="A286">
        <f t="shared" si="2"/>
        <v>931</v>
      </c>
    </row>
    <row r="287" spans="1:1" x14ac:dyDescent="0.3">
      <c r="A287">
        <f t="shared" si="2"/>
        <v>953</v>
      </c>
    </row>
    <row r="288" spans="1:1" x14ac:dyDescent="0.3">
      <c r="A288">
        <f t="shared" si="2"/>
        <v>976</v>
      </c>
    </row>
    <row r="289" spans="1:1" x14ac:dyDescent="0.3">
      <c r="A289">
        <f t="shared" si="2"/>
        <v>1000</v>
      </c>
    </row>
    <row r="290" spans="1:1" x14ac:dyDescent="0.3">
      <c r="A290">
        <f t="shared" ref="A290:A353" si="3">A194*10</f>
        <v>1020</v>
      </c>
    </row>
    <row r="291" spans="1:1" x14ac:dyDescent="0.3">
      <c r="A291">
        <f t="shared" si="3"/>
        <v>1050</v>
      </c>
    </row>
    <row r="292" spans="1:1" x14ac:dyDescent="0.3">
      <c r="A292">
        <f t="shared" si="3"/>
        <v>1070</v>
      </c>
    </row>
    <row r="293" spans="1:1" x14ac:dyDescent="0.3">
      <c r="A293">
        <f t="shared" si="3"/>
        <v>1100</v>
      </c>
    </row>
    <row r="294" spans="1:1" x14ac:dyDescent="0.3">
      <c r="A294">
        <f t="shared" si="3"/>
        <v>1130</v>
      </c>
    </row>
    <row r="295" spans="1:1" x14ac:dyDescent="0.3">
      <c r="A295">
        <f t="shared" si="3"/>
        <v>1150</v>
      </c>
    </row>
    <row r="296" spans="1:1" x14ac:dyDescent="0.3">
      <c r="A296">
        <f t="shared" si="3"/>
        <v>1180</v>
      </c>
    </row>
    <row r="297" spans="1:1" x14ac:dyDescent="0.3">
      <c r="A297">
        <f t="shared" si="3"/>
        <v>1210</v>
      </c>
    </row>
    <row r="298" spans="1:1" x14ac:dyDescent="0.3">
      <c r="A298">
        <f t="shared" si="3"/>
        <v>1240</v>
      </c>
    </row>
    <row r="299" spans="1:1" x14ac:dyDescent="0.3">
      <c r="A299">
        <f t="shared" si="3"/>
        <v>1270</v>
      </c>
    </row>
    <row r="300" spans="1:1" x14ac:dyDescent="0.3">
      <c r="A300">
        <f t="shared" si="3"/>
        <v>1300</v>
      </c>
    </row>
    <row r="301" spans="1:1" x14ac:dyDescent="0.3">
      <c r="A301">
        <f t="shared" si="3"/>
        <v>1330</v>
      </c>
    </row>
    <row r="302" spans="1:1" x14ac:dyDescent="0.3">
      <c r="A302">
        <f t="shared" si="3"/>
        <v>1370</v>
      </c>
    </row>
    <row r="303" spans="1:1" x14ac:dyDescent="0.3">
      <c r="A303">
        <f t="shared" si="3"/>
        <v>1400</v>
      </c>
    </row>
    <row r="304" spans="1:1" x14ac:dyDescent="0.3">
      <c r="A304">
        <f t="shared" si="3"/>
        <v>1430</v>
      </c>
    </row>
    <row r="305" spans="1:1" x14ac:dyDescent="0.3">
      <c r="A305">
        <f t="shared" si="3"/>
        <v>1470</v>
      </c>
    </row>
    <row r="306" spans="1:1" x14ac:dyDescent="0.3">
      <c r="A306">
        <f t="shared" si="3"/>
        <v>1500</v>
      </c>
    </row>
    <row r="307" spans="1:1" x14ac:dyDescent="0.3">
      <c r="A307">
        <f t="shared" si="3"/>
        <v>1540</v>
      </c>
    </row>
    <row r="308" spans="1:1" x14ac:dyDescent="0.3">
      <c r="A308">
        <f t="shared" si="3"/>
        <v>1580</v>
      </c>
    </row>
    <row r="309" spans="1:1" x14ac:dyDescent="0.3">
      <c r="A309">
        <f t="shared" si="3"/>
        <v>1620</v>
      </c>
    </row>
    <row r="310" spans="1:1" x14ac:dyDescent="0.3">
      <c r="A310">
        <f t="shared" si="3"/>
        <v>1650</v>
      </c>
    </row>
    <row r="311" spans="1:1" x14ac:dyDescent="0.3">
      <c r="A311">
        <f t="shared" si="3"/>
        <v>1690</v>
      </c>
    </row>
    <row r="312" spans="1:1" x14ac:dyDescent="0.3">
      <c r="A312">
        <f t="shared" si="3"/>
        <v>1740</v>
      </c>
    </row>
    <row r="313" spans="1:1" x14ac:dyDescent="0.3">
      <c r="A313">
        <f t="shared" si="3"/>
        <v>1780</v>
      </c>
    </row>
    <row r="314" spans="1:1" x14ac:dyDescent="0.3">
      <c r="A314">
        <f t="shared" si="3"/>
        <v>1820</v>
      </c>
    </row>
    <row r="315" spans="1:1" x14ac:dyDescent="0.3">
      <c r="A315">
        <f t="shared" si="3"/>
        <v>1870</v>
      </c>
    </row>
    <row r="316" spans="1:1" x14ac:dyDescent="0.3">
      <c r="A316">
        <f t="shared" si="3"/>
        <v>1910</v>
      </c>
    </row>
    <row r="317" spans="1:1" x14ac:dyDescent="0.3">
      <c r="A317">
        <f t="shared" si="3"/>
        <v>1960</v>
      </c>
    </row>
    <row r="318" spans="1:1" x14ac:dyDescent="0.3">
      <c r="A318">
        <f t="shared" si="3"/>
        <v>2000</v>
      </c>
    </row>
    <row r="319" spans="1:1" x14ac:dyDescent="0.3">
      <c r="A319">
        <f t="shared" si="3"/>
        <v>2050</v>
      </c>
    </row>
    <row r="320" spans="1:1" x14ac:dyDescent="0.3">
      <c r="A320">
        <f t="shared" si="3"/>
        <v>2100</v>
      </c>
    </row>
    <row r="321" spans="1:1" x14ac:dyDescent="0.3">
      <c r="A321">
        <f t="shared" si="3"/>
        <v>2150</v>
      </c>
    </row>
    <row r="322" spans="1:1" x14ac:dyDescent="0.3">
      <c r="A322">
        <f t="shared" si="3"/>
        <v>2210</v>
      </c>
    </row>
    <row r="323" spans="1:1" x14ac:dyDescent="0.3">
      <c r="A323">
        <f t="shared" si="3"/>
        <v>2260</v>
      </c>
    </row>
    <row r="324" spans="1:1" x14ac:dyDescent="0.3">
      <c r="A324">
        <f t="shared" si="3"/>
        <v>2320</v>
      </c>
    </row>
    <row r="325" spans="1:1" x14ac:dyDescent="0.3">
      <c r="A325">
        <f t="shared" si="3"/>
        <v>2370.0000000000005</v>
      </c>
    </row>
    <row r="326" spans="1:1" x14ac:dyDescent="0.3">
      <c r="A326">
        <f t="shared" si="3"/>
        <v>2430</v>
      </c>
    </row>
    <row r="327" spans="1:1" x14ac:dyDescent="0.3">
      <c r="A327">
        <f t="shared" si="3"/>
        <v>2490</v>
      </c>
    </row>
    <row r="328" spans="1:1" x14ac:dyDescent="0.3">
      <c r="A328">
        <f t="shared" si="3"/>
        <v>2550</v>
      </c>
    </row>
    <row r="329" spans="1:1" x14ac:dyDescent="0.3">
      <c r="A329">
        <f t="shared" si="3"/>
        <v>2610</v>
      </c>
    </row>
    <row r="330" spans="1:1" x14ac:dyDescent="0.3">
      <c r="A330">
        <f t="shared" si="3"/>
        <v>2670</v>
      </c>
    </row>
    <row r="331" spans="1:1" x14ac:dyDescent="0.3">
      <c r="A331">
        <f t="shared" si="3"/>
        <v>2740</v>
      </c>
    </row>
    <row r="332" spans="1:1" x14ac:dyDescent="0.3">
      <c r="A332">
        <f t="shared" si="3"/>
        <v>2800</v>
      </c>
    </row>
    <row r="333" spans="1:1" x14ac:dyDescent="0.3">
      <c r="A333">
        <f t="shared" si="3"/>
        <v>2870</v>
      </c>
    </row>
    <row r="334" spans="1:1" x14ac:dyDescent="0.3">
      <c r="A334">
        <f t="shared" si="3"/>
        <v>2940</v>
      </c>
    </row>
    <row r="335" spans="1:1" x14ac:dyDescent="0.3">
      <c r="A335">
        <f t="shared" si="3"/>
        <v>3010</v>
      </c>
    </row>
    <row r="336" spans="1:1" x14ac:dyDescent="0.3">
      <c r="A336">
        <f t="shared" si="3"/>
        <v>3090</v>
      </c>
    </row>
    <row r="337" spans="1:1" x14ac:dyDescent="0.3">
      <c r="A337">
        <f t="shared" si="3"/>
        <v>3160</v>
      </c>
    </row>
    <row r="338" spans="1:1" x14ac:dyDescent="0.3">
      <c r="A338">
        <f t="shared" si="3"/>
        <v>3240</v>
      </c>
    </row>
    <row r="339" spans="1:1" x14ac:dyDescent="0.3">
      <c r="A339">
        <f t="shared" si="3"/>
        <v>3320</v>
      </c>
    </row>
    <row r="340" spans="1:1" x14ac:dyDescent="0.3">
      <c r="A340">
        <f t="shared" si="3"/>
        <v>3400</v>
      </c>
    </row>
    <row r="341" spans="1:1" x14ac:dyDescent="0.3">
      <c r="A341">
        <f t="shared" si="3"/>
        <v>3480</v>
      </c>
    </row>
    <row r="342" spans="1:1" x14ac:dyDescent="0.3">
      <c r="A342">
        <f t="shared" si="3"/>
        <v>3570</v>
      </c>
    </row>
    <row r="343" spans="1:1" x14ac:dyDescent="0.3">
      <c r="A343">
        <f t="shared" si="3"/>
        <v>3650</v>
      </c>
    </row>
    <row r="344" spans="1:1" x14ac:dyDescent="0.3">
      <c r="A344">
        <f t="shared" si="3"/>
        <v>3740</v>
      </c>
    </row>
    <row r="345" spans="1:1" x14ac:dyDescent="0.3">
      <c r="A345">
        <f t="shared" si="3"/>
        <v>3830</v>
      </c>
    </row>
    <row r="346" spans="1:1" x14ac:dyDescent="0.3">
      <c r="A346">
        <f t="shared" si="3"/>
        <v>3920</v>
      </c>
    </row>
    <row r="347" spans="1:1" x14ac:dyDescent="0.3">
      <c r="A347">
        <f t="shared" si="3"/>
        <v>4020</v>
      </c>
    </row>
    <row r="348" spans="1:1" x14ac:dyDescent="0.3">
      <c r="A348">
        <f t="shared" si="3"/>
        <v>4120</v>
      </c>
    </row>
    <row r="349" spans="1:1" x14ac:dyDescent="0.3">
      <c r="A349">
        <f t="shared" si="3"/>
        <v>4220</v>
      </c>
    </row>
    <row r="350" spans="1:1" x14ac:dyDescent="0.3">
      <c r="A350">
        <f t="shared" si="3"/>
        <v>4320</v>
      </c>
    </row>
    <row r="351" spans="1:1" x14ac:dyDescent="0.3">
      <c r="A351">
        <f t="shared" si="3"/>
        <v>4420</v>
      </c>
    </row>
    <row r="352" spans="1:1" x14ac:dyDescent="0.3">
      <c r="A352">
        <f t="shared" si="3"/>
        <v>4530</v>
      </c>
    </row>
    <row r="353" spans="1:1" x14ac:dyDescent="0.3">
      <c r="A353">
        <f t="shared" si="3"/>
        <v>4640</v>
      </c>
    </row>
    <row r="354" spans="1:1" x14ac:dyDescent="0.3">
      <c r="A354">
        <f t="shared" ref="A354:A417" si="4">A258*10</f>
        <v>4750</v>
      </c>
    </row>
    <row r="355" spans="1:1" x14ac:dyDescent="0.3">
      <c r="A355">
        <f t="shared" si="4"/>
        <v>4870</v>
      </c>
    </row>
    <row r="356" spans="1:1" x14ac:dyDescent="0.3">
      <c r="A356">
        <f t="shared" si="4"/>
        <v>4990.0000000000009</v>
      </c>
    </row>
    <row r="357" spans="1:1" x14ac:dyDescent="0.3">
      <c r="A357">
        <f t="shared" si="4"/>
        <v>5110</v>
      </c>
    </row>
    <row r="358" spans="1:1" x14ac:dyDescent="0.3">
      <c r="A358">
        <f t="shared" si="4"/>
        <v>5230</v>
      </c>
    </row>
    <row r="359" spans="1:1" x14ac:dyDescent="0.3">
      <c r="A359">
        <f t="shared" si="4"/>
        <v>5360</v>
      </c>
    </row>
    <row r="360" spans="1:1" x14ac:dyDescent="0.3">
      <c r="A360">
        <f t="shared" si="4"/>
        <v>5490</v>
      </c>
    </row>
    <row r="361" spans="1:1" x14ac:dyDescent="0.3">
      <c r="A361">
        <f t="shared" si="4"/>
        <v>5620</v>
      </c>
    </row>
    <row r="362" spans="1:1" x14ac:dyDescent="0.3">
      <c r="A362">
        <f t="shared" si="4"/>
        <v>5760</v>
      </c>
    </row>
    <row r="363" spans="1:1" x14ac:dyDescent="0.3">
      <c r="A363">
        <f t="shared" si="4"/>
        <v>5900</v>
      </c>
    </row>
    <row r="364" spans="1:1" x14ac:dyDescent="0.3">
      <c r="A364">
        <f t="shared" si="4"/>
        <v>6040</v>
      </c>
    </row>
    <row r="365" spans="1:1" x14ac:dyDescent="0.3">
      <c r="A365">
        <f t="shared" si="4"/>
        <v>6189.9999999999991</v>
      </c>
    </row>
    <row r="366" spans="1:1" x14ac:dyDescent="0.3">
      <c r="A366">
        <f t="shared" si="4"/>
        <v>6340</v>
      </c>
    </row>
    <row r="367" spans="1:1" x14ac:dyDescent="0.3">
      <c r="A367">
        <f t="shared" si="4"/>
        <v>6490</v>
      </c>
    </row>
    <row r="368" spans="1:1" x14ac:dyDescent="0.3">
      <c r="A368">
        <f t="shared" si="4"/>
        <v>6650</v>
      </c>
    </row>
    <row r="369" spans="1:1" x14ac:dyDescent="0.3">
      <c r="A369">
        <f t="shared" si="4"/>
        <v>6810</v>
      </c>
    </row>
    <row r="370" spans="1:1" x14ac:dyDescent="0.3">
      <c r="A370">
        <f t="shared" si="4"/>
        <v>6980</v>
      </c>
    </row>
    <row r="371" spans="1:1" x14ac:dyDescent="0.3">
      <c r="A371">
        <f t="shared" si="4"/>
        <v>7150</v>
      </c>
    </row>
    <row r="372" spans="1:1" x14ac:dyDescent="0.3">
      <c r="A372">
        <f t="shared" si="4"/>
        <v>7320</v>
      </c>
    </row>
    <row r="373" spans="1:1" x14ac:dyDescent="0.3">
      <c r="A373">
        <f t="shared" si="4"/>
        <v>7500</v>
      </c>
    </row>
    <row r="374" spans="1:1" x14ac:dyDescent="0.3">
      <c r="A374">
        <f t="shared" si="4"/>
        <v>7680</v>
      </c>
    </row>
    <row r="375" spans="1:1" x14ac:dyDescent="0.3">
      <c r="A375">
        <f t="shared" si="4"/>
        <v>7870</v>
      </c>
    </row>
    <row r="376" spans="1:1" x14ac:dyDescent="0.3">
      <c r="A376">
        <f t="shared" si="4"/>
        <v>8060</v>
      </c>
    </row>
    <row r="377" spans="1:1" x14ac:dyDescent="0.3">
      <c r="A377">
        <f t="shared" si="4"/>
        <v>8250</v>
      </c>
    </row>
    <row r="378" spans="1:1" x14ac:dyDescent="0.3">
      <c r="A378">
        <f t="shared" si="4"/>
        <v>8450</v>
      </c>
    </row>
    <row r="379" spans="1:1" x14ac:dyDescent="0.3">
      <c r="A379">
        <f t="shared" si="4"/>
        <v>8660</v>
      </c>
    </row>
    <row r="380" spans="1:1" x14ac:dyDescent="0.3">
      <c r="A380">
        <f t="shared" si="4"/>
        <v>8870.0000000000018</v>
      </c>
    </row>
    <row r="381" spans="1:1" x14ac:dyDescent="0.3">
      <c r="A381">
        <f t="shared" si="4"/>
        <v>9090</v>
      </c>
    </row>
    <row r="382" spans="1:1" x14ac:dyDescent="0.3">
      <c r="A382">
        <f t="shared" si="4"/>
        <v>9310</v>
      </c>
    </row>
    <row r="383" spans="1:1" x14ac:dyDescent="0.3">
      <c r="A383">
        <f t="shared" si="4"/>
        <v>9530</v>
      </c>
    </row>
    <row r="384" spans="1:1" x14ac:dyDescent="0.3">
      <c r="A384">
        <f t="shared" si="4"/>
        <v>9760</v>
      </c>
    </row>
    <row r="385" spans="1:1" x14ac:dyDescent="0.3">
      <c r="A385">
        <f t="shared" si="4"/>
        <v>10000</v>
      </c>
    </row>
    <row r="386" spans="1:1" x14ac:dyDescent="0.3">
      <c r="A386">
        <f t="shared" si="4"/>
        <v>10200</v>
      </c>
    </row>
    <row r="387" spans="1:1" x14ac:dyDescent="0.3">
      <c r="A387">
        <f t="shared" si="4"/>
        <v>10500</v>
      </c>
    </row>
    <row r="388" spans="1:1" x14ac:dyDescent="0.3">
      <c r="A388">
        <f t="shared" si="4"/>
        <v>10700</v>
      </c>
    </row>
    <row r="389" spans="1:1" x14ac:dyDescent="0.3">
      <c r="A389">
        <f t="shared" si="4"/>
        <v>11000</v>
      </c>
    </row>
    <row r="390" spans="1:1" x14ac:dyDescent="0.3">
      <c r="A390">
        <f t="shared" si="4"/>
        <v>11300</v>
      </c>
    </row>
    <row r="391" spans="1:1" x14ac:dyDescent="0.3">
      <c r="A391">
        <f t="shared" si="4"/>
        <v>11500</v>
      </c>
    </row>
    <row r="392" spans="1:1" x14ac:dyDescent="0.3">
      <c r="A392">
        <f t="shared" si="4"/>
        <v>11800</v>
      </c>
    </row>
    <row r="393" spans="1:1" x14ac:dyDescent="0.3">
      <c r="A393">
        <f t="shared" si="4"/>
        <v>12100</v>
      </c>
    </row>
    <row r="394" spans="1:1" x14ac:dyDescent="0.3">
      <c r="A394">
        <f t="shared" si="4"/>
        <v>12400</v>
      </c>
    </row>
    <row r="395" spans="1:1" x14ac:dyDescent="0.3">
      <c r="A395">
        <f t="shared" si="4"/>
        <v>12700</v>
      </c>
    </row>
    <row r="396" spans="1:1" x14ac:dyDescent="0.3">
      <c r="A396">
        <f t="shared" si="4"/>
        <v>13000</v>
      </c>
    </row>
    <row r="397" spans="1:1" x14ac:dyDescent="0.3">
      <c r="A397">
        <f t="shared" si="4"/>
        <v>13300</v>
      </c>
    </row>
    <row r="398" spans="1:1" x14ac:dyDescent="0.3">
      <c r="A398">
        <f t="shared" si="4"/>
        <v>13700</v>
      </c>
    </row>
    <row r="399" spans="1:1" x14ac:dyDescent="0.3">
      <c r="A399">
        <f t="shared" si="4"/>
        <v>14000</v>
      </c>
    </row>
    <row r="400" spans="1:1" x14ac:dyDescent="0.3">
      <c r="A400">
        <f t="shared" si="4"/>
        <v>14300</v>
      </c>
    </row>
    <row r="401" spans="1:1" x14ac:dyDescent="0.3">
      <c r="A401">
        <f t="shared" si="4"/>
        <v>14700</v>
      </c>
    </row>
    <row r="402" spans="1:1" x14ac:dyDescent="0.3">
      <c r="A402">
        <f t="shared" si="4"/>
        <v>15000</v>
      </c>
    </row>
    <row r="403" spans="1:1" x14ac:dyDescent="0.3">
      <c r="A403">
        <f t="shared" si="4"/>
        <v>15400</v>
      </c>
    </row>
    <row r="404" spans="1:1" x14ac:dyDescent="0.3">
      <c r="A404">
        <f t="shared" si="4"/>
        <v>15800</v>
      </c>
    </row>
    <row r="405" spans="1:1" x14ac:dyDescent="0.3">
      <c r="A405">
        <f t="shared" si="4"/>
        <v>16200</v>
      </c>
    </row>
    <row r="406" spans="1:1" x14ac:dyDescent="0.3">
      <c r="A406">
        <f t="shared" si="4"/>
        <v>16500</v>
      </c>
    </row>
    <row r="407" spans="1:1" x14ac:dyDescent="0.3">
      <c r="A407">
        <f t="shared" si="4"/>
        <v>16900</v>
      </c>
    </row>
    <row r="408" spans="1:1" x14ac:dyDescent="0.3">
      <c r="A408">
        <f t="shared" si="4"/>
        <v>17400</v>
      </c>
    </row>
    <row r="409" spans="1:1" x14ac:dyDescent="0.3">
      <c r="A409">
        <f t="shared" si="4"/>
        <v>17800</v>
      </c>
    </row>
    <row r="410" spans="1:1" x14ac:dyDescent="0.3">
      <c r="A410">
        <f t="shared" si="4"/>
        <v>18200</v>
      </c>
    </row>
    <row r="411" spans="1:1" x14ac:dyDescent="0.3">
      <c r="A411">
        <f t="shared" si="4"/>
        <v>18700</v>
      </c>
    </row>
    <row r="412" spans="1:1" x14ac:dyDescent="0.3">
      <c r="A412">
        <f t="shared" si="4"/>
        <v>19100</v>
      </c>
    </row>
    <row r="413" spans="1:1" x14ac:dyDescent="0.3">
      <c r="A413">
        <f t="shared" si="4"/>
        <v>19600</v>
      </c>
    </row>
    <row r="414" spans="1:1" x14ac:dyDescent="0.3">
      <c r="A414">
        <f t="shared" si="4"/>
        <v>20000</v>
      </c>
    </row>
    <row r="415" spans="1:1" x14ac:dyDescent="0.3">
      <c r="A415">
        <f t="shared" si="4"/>
        <v>20500</v>
      </c>
    </row>
    <row r="416" spans="1:1" x14ac:dyDescent="0.3">
      <c r="A416">
        <f t="shared" si="4"/>
        <v>21000</v>
      </c>
    </row>
    <row r="417" spans="1:1" x14ac:dyDescent="0.3">
      <c r="A417">
        <f t="shared" si="4"/>
        <v>21500</v>
      </c>
    </row>
    <row r="418" spans="1:1" x14ac:dyDescent="0.3">
      <c r="A418">
        <f t="shared" ref="A418:A481" si="5">A322*10</f>
        <v>22100</v>
      </c>
    </row>
    <row r="419" spans="1:1" x14ac:dyDescent="0.3">
      <c r="A419">
        <f t="shared" si="5"/>
        <v>22600</v>
      </c>
    </row>
    <row r="420" spans="1:1" x14ac:dyDescent="0.3">
      <c r="A420">
        <f t="shared" si="5"/>
        <v>23200</v>
      </c>
    </row>
    <row r="421" spans="1:1" x14ac:dyDescent="0.3">
      <c r="A421">
        <f t="shared" si="5"/>
        <v>23700.000000000004</v>
      </c>
    </row>
    <row r="422" spans="1:1" x14ac:dyDescent="0.3">
      <c r="A422">
        <f t="shared" si="5"/>
        <v>24300</v>
      </c>
    </row>
    <row r="423" spans="1:1" x14ac:dyDescent="0.3">
      <c r="A423">
        <f t="shared" si="5"/>
        <v>24900</v>
      </c>
    </row>
    <row r="424" spans="1:1" x14ac:dyDescent="0.3">
      <c r="A424">
        <f t="shared" si="5"/>
        <v>25500</v>
      </c>
    </row>
    <row r="425" spans="1:1" x14ac:dyDescent="0.3">
      <c r="A425">
        <f t="shared" si="5"/>
        <v>26100</v>
      </c>
    </row>
    <row r="426" spans="1:1" x14ac:dyDescent="0.3">
      <c r="A426">
        <f t="shared" si="5"/>
        <v>26700</v>
      </c>
    </row>
    <row r="427" spans="1:1" x14ac:dyDescent="0.3">
      <c r="A427">
        <f t="shared" si="5"/>
        <v>27400</v>
      </c>
    </row>
    <row r="428" spans="1:1" x14ac:dyDescent="0.3">
      <c r="A428">
        <f t="shared" si="5"/>
        <v>28000</v>
      </c>
    </row>
    <row r="429" spans="1:1" x14ac:dyDescent="0.3">
      <c r="A429">
        <f t="shared" si="5"/>
        <v>28700</v>
      </c>
    </row>
    <row r="430" spans="1:1" x14ac:dyDescent="0.3">
      <c r="A430">
        <f t="shared" si="5"/>
        <v>29400</v>
      </c>
    </row>
    <row r="431" spans="1:1" x14ac:dyDescent="0.3">
      <c r="A431">
        <f t="shared" si="5"/>
        <v>30100</v>
      </c>
    </row>
    <row r="432" spans="1:1" x14ac:dyDescent="0.3">
      <c r="A432">
        <f t="shared" si="5"/>
        <v>30900</v>
      </c>
    </row>
    <row r="433" spans="1:1" x14ac:dyDescent="0.3">
      <c r="A433">
        <f t="shared" si="5"/>
        <v>31600</v>
      </c>
    </row>
    <row r="434" spans="1:1" x14ac:dyDescent="0.3">
      <c r="A434">
        <f t="shared" si="5"/>
        <v>32400</v>
      </c>
    </row>
    <row r="435" spans="1:1" x14ac:dyDescent="0.3">
      <c r="A435">
        <f t="shared" si="5"/>
        <v>33200</v>
      </c>
    </row>
    <row r="436" spans="1:1" x14ac:dyDescent="0.3">
      <c r="A436">
        <f t="shared" si="5"/>
        <v>34000</v>
      </c>
    </row>
    <row r="437" spans="1:1" x14ac:dyDescent="0.3">
      <c r="A437">
        <f t="shared" si="5"/>
        <v>34800</v>
      </c>
    </row>
    <row r="438" spans="1:1" x14ac:dyDescent="0.3">
      <c r="A438">
        <f t="shared" si="5"/>
        <v>35700</v>
      </c>
    </row>
    <row r="439" spans="1:1" x14ac:dyDescent="0.3">
      <c r="A439">
        <f t="shared" si="5"/>
        <v>36500</v>
      </c>
    </row>
    <row r="440" spans="1:1" x14ac:dyDescent="0.3">
      <c r="A440">
        <f t="shared" si="5"/>
        <v>37400</v>
      </c>
    </row>
    <row r="441" spans="1:1" x14ac:dyDescent="0.3">
      <c r="A441">
        <f t="shared" si="5"/>
        <v>38300</v>
      </c>
    </row>
    <row r="442" spans="1:1" x14ac:dyDescent="0.3">
      <c r="A442">
        <f t="shared" si="5"/>
        <v>39200</v>
      </c>
    </row>
    <row r="443" spans="1:1" x14ac:dyDescent="0.3">
      <c r="A443">
        <f t="shared" si="5"/>
        <v>40200</v>
      </c>
    </row>
    <row r="444" spans="1:1" x14ac:dyDescent="0.3">
      <c r="A444">
        <f t="shared" si="5"/>
        <v>41200</v>
      </c>
    </row>
    <row r="445" spans="1:1" x14ac:dyDescent="0.3">
      <c r="A445">
        <f t="shared" si="5"/>
        <v>42200</v>
      </c>
    </row>
    <row r="446" spans="1:1" x14ac:dyDescent="0.3">
      <c r="A446">
        <f t="shared" si="5"/>
        <v>43200</v>
      </c>
    </row>
    <row r="447" spans="1:1" x14ac:dyDescent="0.3">
      <c r="A447">
        <f t="shared" si="5"/>
        <v>44200</v>
      </c>
    </row>
    <row r="448" spans="1:1" x14ac:dyDescent="0.3">
      <c r="A448">
        <f t="shared" si="5"/>
        <v>45300</v>
      </c>
    </row>
    <row r="449" spans="1:1" x14ac:dyDescent="0.3">
      <c r="A449">
        <f t="shared" si="5"/>
        <v>46400</v>
      </c>
    </row>
    <row r="450" spans="1:1" x14ac:dyDescent="0.3">
      <c r="A450">
        <f t="shared" si="5"/>
        <v>47500</v>
      </c>
    </row>
    <row r="451" spans="1:1" x14ac:dyDescent="0.3">
      <c r="A451">
        <f t="shared" si="5"/>
        <v>48700</v>
      </c>
    </row>
    <row r="452" spans="1:1" x14ac:dyDescent="0.3">
      <c r="A452">
        <f t="shared" si="5"/>
        <v>49900.000000000007</v>
      </c>
    </row>
    <row r="453" spans="1:1" x14ac:dyDescent="0.3">
      <c r="A453">
        <f t="shared" si="5"/>
        <v>51100</v>
      </c>
    </row>
    <row r="454" spans="1:1" x14ac:dyDescent="0.3">
      <c r="A454">
        <f t="shared" si="5"/>
        <v>52300</v>
      </c>
    </row>
    <row r="455" spans="1:1" x14ac:dyDescent="0.3">
      <c r="A455">
        <f t="shared" si="5"/>
        <v>53600</v>
      </c>
    </row>
    <row r="456" spans="1:1" x14ac:dyDescent="0.3">
      <c r="A456">
        <f t="shared" si="5"/>
        <v>54900</v>
      </c>
    </row>
    <row r="457" spans="1:1" x14ac:dyDescent="0.3">
      <c r="A457">
        <f t="shared" si="5"/>
        <v>56200</v>
      </c>
    </row>
    <row r="458" spans="1:1" x14ac:dyDescent="0.3">
      <c r="A458">
        <f t="shared" si="5"/>
        <v>57600</v>
      </c>
    </row>
    <row r="459" spans="1:1" x14ac:dyDescent="0.3">
      <c r="A459">
        <f t="shared" si="5"/>
        <v>59000</v>
      </c>
    </row>
    <row r="460" spans="1:1" x14ac:dyDescent="0.3">
      <c r="A460">
        <f t="shared" si="5"/>
        <v>60400</v>
      </c>
    </row>
    <row r="461" spans="1:1" x14ac:dyDescent="0.3">
      <c r="A461">
        <f t="shared" si="5"/>
        <v>61899.999999999993</v>
      </c>
    </row>
    <row r="462" spans="1:1" x14ac:dyDescent="0.3">
      <c r="A462">
        <f t="shared" si="5"/>
        <v>63400</v>
      </c>
    </row>
    <row r="463" spans="1:1" x14ac:dyDescent="0.3">
      <c r="A463">
        <f t="shared" si="5"/>
        <v>64900</v>
      </c>
    </row>
    <row r="464" spans="1:1" x14ac:dyDescent="0.3">
      <c r="A464">
        <f t="shared" si="5"/>
        <v>66500</v>
      </c>
    </row>
    <row r="465" spans="1:1" x14ac:dyDescent="0.3">
      <c r="A465">
        <f t="shared" si="5"/>
        <v>68100</v>
      </c>
    </row>
    <row r="466" spans="1:1" x14ac:dyDescent="0.3">
      <c r="A466">
        <f t="shared" si="5"/>
        <v>69800</v>
      </c>
    </row>
    <row r="467" spans="1:1" x14ac:dyDescent="0.3">
      <c r="A467">
        <f t="shared" si="5"/>
        <v>71500</v>
      </c>
    </row>
    <row r="468" spans="1:1" x14ac:dyDescent="0.3">
      <c r="A468">
        <f t="shared" si="5"/>
        <v>73200</v>
      </c>
    </row>
    <row r="469" spans="1:1" x14ac:dyDescent="0.3">
      <c r="A469">
        <f t="shared" si="5"/>
        <v>75000</v>
      </c>
    </row>
    <row r="470" spans="1:1" x14ac:dyDescent="0.3">
      <c r="A470">
        <f t="shared" si="5"/>
        <v>76800</v>
      </c>
    </row>
    <row r="471" spans="1:1" x14ac:dyDescent="0.3">
      <c r="A471">
        <f t="shared" si="5"/>
        <v>78700</v>
      </c>
    </row>
    <row r="472" spans="1:1" x14ac:dyDescent="0.3">
      <c r="A472">
        <f t="shared" si="5"/>
        <v>80600</v>
      </c>
    </row>
    <row r="473" spans="1:1" x14ac:dyDescent="0.3">
      <c r="A473">
        <f t="shared" si="5"/>
        <v>82500</v>
      </c>
    </row>
    <row r="474" spans="1:1" x14ac:dyDescent="0.3">
      <c r="A474">
        <f t="shared" si="5"/>
        <v>84500</v>
      </c>
    </row>
    <row r="475" spans="1:1" x14ac:dyDescent="0.3">
      <c r="A475">
        <f t="shared" si="5"/>
        <v>86600</v>
      </c>
    </row>
    <row r="476" spans="1:1" x14ac:dyDescent="0.3">
      <c r="A476">
        <f t="shared" si="5"/>
        <v>88700.000000000015</v>
      </c>
    </row>
    <row r="477" spans="1:1" x14ac:dyDescent="0.3">
      <c r="A477">
        <f t="shared" si="5"/>
        <v>90900</v>
      </c>
    </row>
    <row r="478" spans="1:1" x14ac:dyDescent="0.3">
      <c r="A478">
        <f t="shared" si="5"/>
        <v>93100</v>
      </c>
    </row>
    <row r="479" spans="1:1" x14ac:dyDescent="0.3">
      <c r="A479">
        <f t="shared" si="5"/>
        <v>95300</v>
      </c>
    </row>
    <row r="480" spans="1:1" x14ac:dyDescent="0.3">
      <c r="A480">
        <f t="shared" si="5"/>
        <v>97600</v>
      </c>
    </row>
    <row r="481" spans="1:1" x14ac:dyDescent="0.3">
      <c r="A481">
        <f t="shared" si="5"/>
        <v>100000</v>
      </c>
    </row>
    <row r="482" spans="1:1" x14ac:dyDescent="0.3">
      <c r="A482">
        <f t="shared" ref="A482:A545" si="6">A386*10</f>
        <v>102000</v>
      </c>
    </row>
    <row r="483" spans="1:1" x14ac:dyDescent="0.3">
      <c r="A483">
        <f t="shared" si="6"/>
        <v>105000</v>
      </c>
    </row>
    <row r="484" spans="1:1" x14ac:dyDescent="0.3">
      <c r="A484">
        <f t="shared" si="6"/>
        <v>107000</v>
      </c>
    </row>
    <row r="485" spans="1:1" x14ac:dyDescent="0.3">
      <c r="A485">
        <f t="shared" si="6"/>
        <v>110000</v>
      </c>
    </row>
    <row r="486" spans="1:1" x14ac:dyDescent="0.3">
      <c r="A486">
        <f t="shared" si="6"/>
        <v>113000</v>
      </c>
    </row>
    <row r="487" spans="1:1" x14ac:dyDescent="0.3">
      <c r="A487">
        <f t="shared" si="6"/>
        <v>115000</v>
      </c>
    </row>
    <row r="488" spans="1:1" x14ac:dyDescent="0.3">
      <c r="A488">
        <f t="shared" si="6"/>
        <v>118000</v>
      </c>
    </row>
    <row r="489" spans="1:1" x14ac:dyDescent="0.3">
      <c r="A489">
        <f t="shared" si="6"/>
        <v>121000</v>
      </c>
    </row>
    <row r="490" spans="1:1" x14ac:dyDescent="0.3">
      <c r="A490">
        <f t="shared" si="6"/>
        <v>124000</v>
      </c>
    </row>
    <row r="491" spans="1:1" x14ac:dyDescent="0.3">
      <c r="A491">
        <f t="shared" si="6"/>
        <v>127000</v>
      </c>
    </row>
    <row r="492" spans="1:1" x14ac:dyDescent="0.3">
      <c r="A492">
        <f t="shared" si="6"/>
        <v>130000</v>
      </c>
    </row>
    <row r="493" spans="1:1" x14ac:dyDescent="0.3">
      <c r="A493">
        <f t="shared" si="6"/>
        <v>133000</v>
      </c>
    </row>
    <row r="494" spans="1:1" x14ac:dyDescent="0.3">
      <c r="A494">
        <f t="shared" si="6"/>
        <v>137000</v>
      </c>
    </row>
    <row r="495" spans="1:1" x14ac:dyDescent="0.3">
      <c r="A495">
        <f t="shared" si="6"/>
        <v>140000</v>
      </c>
    </row>
    <row r="496" spans="1:1" x14ac:dyDescent="0.3">
      <c r="A496">
        <f t="shared" si="6"/>
        <v>143000</v>
      </c>
    </row>
    <row r="497" spans="1:1" x14ac:dyDescent="0.3">
      <c r="A497">
        <f t="shared" si="6"/>
        <v>147000</v>
      </c>
    </row>
    <row r="498" spans="1:1" x14ac:dyDescent="0.3">
      <c r="A498">
        <f t="shared" si="6"/>
        <v>150000</v>
      </c>
    </row>
    <row r="499" spans="1:1" x14ac:dyDescent="0.3">
      <c r="A499">
        <f t="shared" si="6"/>
        <v>154000</v>
      </c>
    </row>
    <row r="500" spans="1:1" x14ac:dyDescent="0.3">
      <c r="A500">
        <f t="shared" si="6"/>
        <v>158000</v>
      </c>
    </row>
    <row r="501" spans="1:1" x14ac:dyDescent="0.3">
      <c r="A501">
        <f t="shared" si="6"/>
        <v>162000</v>
      </c>
    </row>
    <row r="502" spans="1:1" x14ac:dyDescent="0.3">
      <c r="A502">
        <f t="shared" si="6"/>
        <v>165000</v>
      </c>
    </row>
    <row r="503" spans="1:1" x14ac:dyDescent="0.3">
      <c r="A503">
        <f t="shared" si="6"/>
        <v>169000</v>
      </c>
    </row>
    <row r="504" spans="1:1" x14ac:dyDescent="0.3">
      <c r="A504">
        <f t="shared" si="6"/>
        <v>174000</v>
      </c>
    </row>
    <row r="505" spans="1:1" x14ac:dyDescent="0.3">
      <c r="A505">
        <f t="shared" si="6"/>
        <v>178000</v>
      </c>
    </row>
    <row r="506" spans="1:1" x14ac:dyDescent="0.3">
      <c r="A506">
        <f t="shared" si="6"/>
        <v>182000</v>
      </c>
    </row>
    <row r="507" spans="1:1" x14ac:dyDescent="0.3">
      <c r="A507">
        <f t="shared" si="6"/>
        <v>187000</v>
      </c>
    </row>
    <row r="508" spans="1:1" x14ac:dyDescent="0.3">
      <c r="A508">
        <f t="shared" si="6"/>
        <v>191000</v>
      </c>
    </row>
    <row r="509" spans="1:1" x14ac:dyDescent="0.3">
      <c r="A509">
        <f t="shared" si="6"/>
        <v>196000</v>
      </c>
    </row>
    <row r="510" spans="1:1" x14ac:dyDescent="0.3">
      <c r="A510">
        <f t="shared" si="6"/>
        <v>200000</v>
      </c>
    </row>
    <row r="511" spans="1:1" x14ac:dyDescent="0.3">
      <c r="A511">
        <f t="shared" si="6"/>
        <v>205000</v>
      </c>
    </row>
    <row r="512" spans="1:1" x14ac:dyDescent="0.3">
      <c r="A512">
        <f t="shared" si="6"/>
        <v>210000</v>
      </c>
    </row>
    <row r="513" spans="1:1" x14ac:dyDescent="0.3">
      <c r="A513">
        <f t="shared" si="6"/>
        <v>215000</v>
      </c>
    </row>
    <row r="514" spans="1:1" x14ac:dyDescent="0.3">
      <c r="A514">
        <f t="shared" si="6"/>
        <v>221000</v>
      </c>
    </row>
    <row r="515" spans="1:1" x14ac:dyDescent="0.3">
      <c r="A515">
        <f t="shared" si="6"/>
        <v>226000</v>
      </c>
    </row>
    <row r="516" spans="1:1" x14ac:dyDescent="0.3">
      <c r="A516">
        <f t="shared" si="6"/>
        <v>232000</v>
      </c>
    </row>
    <row r="517" spans="1:1" x14ac:dyDescent="0.3">
      <c r="A517">
        <f t="shared" si="6"/>
        <v>237000.00000000003</v>
      </c>
    </row>
    <row r="518" spans="1:1" x14ac:dyDescent="0.3">
      <c r="A518">
        <f t="shared" si="6"/>
        <v>243000</v>
      </c>
    </row>
    <row r="519" spans="1:1" x14ac:dyDescent="0.3">
      <c r="A519">
        <f t="shared" si="6"/>
        <v>249000</v>
      </c>
    </row>
    <row r="520" spans="1:1" x14ac:dyDescent="0.3">
      <c r="A520">
        <f t="shared" si="6"/>
        <v>255000</v>
      </c>
    </row>
    <row r="521" spans="1:1" x14ac:dyDescent="0.3">
      <c r="A521">
        <f t="shared" si="6"/>
        <v>261000</v>
      </c>
    </row>
    <row r="522" spans="1:1" x14ac:dyDescent="0.3">
      <c r="A522">
        <f t="shared" si="6"/>
        <v>267000</v>
      </c>
    </row>
    <row r="523" spans="1:1" x14ac:dyDescent="0.3">
      <c r="A523">
        <f t="shared" si="6"/>
        <v>274000</v>
      </c>
    </row>
    <row r="524" spans="1:1" x14ac:dyDescent="0.3">
      <c r="A524">
        <f t="shared" si="6"/>
        <v>280000</v>
      </c>
    </row>
    <row r="525" spans="1:1" x14ac:dyDescent="0.3">
      <c r="A525">
        <f t="shared" si="6"/>
        <v>287000</v>
      </c>
    </row>
    <row r="526" spans="1:1" x14ac:dyDescent="0.3">
      <c r="A526">
        <f t="shared" si="6"/>
        <v>294000</v>
      </c>
    </row>
    <row r="527" spans="1:1" x14ac:dyDescent="0.3">
      <c r="A527">
        <f t="shared" si="6"/>
        <v>301000</v>
      </c>
    </row>
    <row r="528" spans="1:1" x14ac:dyDescent="0.3">
      <c r="A528">
        <f t="shared" si="6"/>
        <v>309000</v>
      </c>
    </row>
    <row r="529" spans="1:1" x14ac:dyDescent="0.3">
      <c r="A529">
        <f t="shared" si="6"/>
        <v>316000</v>
      </c>
    </row>
    <row r="530" spans="1:1" x14ac:dyDescent="0.3">
      <c r="A530">
        <f t="shared" si="6"/>
        <v>324000</v>
      </c>
    </row>
    <row r="531" spans="1:1" x14ac:dyDescent="0.3">
      <c r="A531">
        <f t="shared" si="6"/>
        <v>332000</v>
      </c>
    </row>
    <row r="532" spans="1:1" x14ac:dyDescent="0.3">
      <c r="A532">
        <f t="shared" si="6"/>
        <v>340000</v>
      </c>
    </row>
    <row r="533" spans="1:1" x14ac:dyDescent="0.3">
      <c r="A533">
        <f t="shared" si="6"/>
        <v>348000</v>
      </c>
    </row>
    <row r="534" spans="1:1" x14ac:dyDescent="0.3">
      <c r="A534">
        <f t="shared" si="6"/>
        <v>357000</v>
      </c>
    </row>
    <row r="535" spans="1:1" x14ac:dyDescent="0.3">
      <c r="A535">
        <f t="shared" si="6"/>
        <v>365000</v>
      </c>
    </row>
    <row r="536" spans="1:1" x14ac:dyDescent="0.3">
      <c r="A536">
        <f t="shared" si="6"/>
        <v>374000</v>
      </c>
    </row>
    <row r="537" spans="1:1" x14ac:dyDescent="0.3">
      <c r="A537">
        <f t="shared" si="6"/>
        <v>383000</v>
      </c>
    </row>
    <row r="538" spans="1:1" x14ac:dyDescent="0.3">
      <c r="A538">
        <f t="shared" si="6"/>
        <v>392000</v>
      </c>
    </row>
    <row r="539" spans="1:1" x14ac:dyDescent="0.3">
      <c r="A539">
        <f t="shared" si="6"/>
        <v>402000</v>
      </c>
    </row>
    <row r="540" spans="1:1" x14ac:dyDescent="0.3">
      <c r="A540">
        <f t="shared" si="6"/>
        <v>412000</v>
      </c>
    </row>
    <row r="541" spans="1:1" x14ac:dyDescent="0.3">
      <c r="A541">
        <f t="shared" si="6"/>
        <v>422000</v>
      </c>
    </row>
    <row r="542" spans="1:1" x14ac:dyDescent="0.3">
      <c r="A542">
        <f t="shared" si="6"/>
        <v>432000</v>
      </c>
    </row>
    <row r="543" spans="1:1" x14ac:dyDescent="0.3">
      <c r="A543">
        <f t="shared" si="6"/>
        <v>442000</v>
      </c>
    </row>
    <row r="544" spans="1:1" x14ac:dyDescent="0.3">
      <c r="A544">
        <f t="shared" si="6"/>
        <v>453000</v>
      </c>
    </row>
    <row r="545" spans="1:1" x14ac:dyDescent="0.3">
      <c r="A545">
        <f t="shared" si="6"/>
        <v>464000</v>
      </c>
    </row>
    <row r="546" spans="1:1" x14ac:dyDescent="0.3">
      <c r="A546">
        <f t="shared" ref="A546:A609" si="7">A450*10</f>
        <v>475000</v>
      </c>
    </row>
    <row r="547" spans="1:1" x14ac:dyDescent="0.3">
      <c r="A547">
        <f t="shared" si="7"/>
        <v>487000</v>
      </c>
    </row>
    <row r="548" spans="1:1" x14ac:dyDescent="0.3">
      <c r="A548">
        <f t="shared" si="7"/>
        <v>499000.00000000006</v>
      </c>
    </row>
    <row r="549" spans="1:1" x14ac:dyDescent="0.3">
      <c r="A549">
        <f t="shared" si="7"/>
        <v>511000</v>
      </c>
    </row>
    <row r="550" spans="1:1" x14ac:dyDescent="0.3">
      <c r="A550">
        <f t="shared" si="7"/>
        <v>523000</v>
      </c>
    </row>
    <row r="551" spans="1:1" x14ac:dyDescent="0.3">
      <c r="A551">
        <f t="shared" si="7"/>
        <v>536000</v>
      </c>
    </row>
    <row r="552" spans="1:1" x14ac:dyDescent="0.3">
      <c r="A552">
        <f t="shared" si="7"/>
        <v>549000</v>
      </c>
    </row>
    <row r="553" spans="1:1" x14ac:dyDescent="0.3">
      <c r="A553">
        <f t="shared" si="7"/>
        <v>562000</v>
      </c>
    </row>
    <row r="554" spans="1:1" x14ac:dyDescent="0.3">
      <c r="A554">
        <f t="shared" si="7"/>
        <v>576000</v>
      </c>
    </row>
    <row r="555" spans="1:1" x14ac:dyDescent="0.3">
      <c r="A555">
        <f t="shared" si="7"/>
        <v>590000</v>
      </c>
    </row>
    <row r="556" spans="1:1" x14ac:dyDescent="0.3">
      <c r="A556">
        <f t="shared" si="7"/>
        <v>604000</v>
      </c>
    </row>
    <row r="557" spans="1:1" x14ac:dyDescent="0.3">
      <c r="A557">
        <f t="shared" si="7"/>
        <v>618999.99999999988</v>
      </c>
    </row>
    <row r="558" spans="1:1" x14ac:dyDescent="0.3">
      <c r="A558">
        <f t="shared" si="7"/>
        <v>634000</v>
      </c>
    </row>
    <row r="559" spans="1:1" x14ac:dyDescent="0.3">
      <c r="A559">
        <f t="shared" si="7"/>
        <v>649000</v>
      </c>
    </row>
    <row r="560" spans="1:1" x14ac:dyDescent="0.3">
      <c r="A560">
        <f t="shared" si="7"/>
        <v>665000</v>
      </c>
    </row>
    <row r="561" spans="1:1" x14ac:dyDescent="0.3">
      <c r="A561">
        <f t="shared" si="7"/>
        <v>681000</v>
      </c>
    </row>
    <row r="562" spans="1:1" x14ac:dyDescent="0.3">
      <c r="A562">
        <f t="shared" si="7"/>
        <v>698000</v>
      </c>
    </row>
    <row r="563" spans="1:1" x14ac:dyDescent="0.3">
      <c r="A563">
        <f t="shared" si="7"/>
        <v>715000</v>
      </c>
    </row>
    <row r="564" spans="1:1" x14ac:dyDescent="0.3">
      <c r="A564">
        <f t="shared" si="7"/>
        <v>732000</v>
      </c>
    </row>
    <row r="565" spans="1:1" x14ac:dyDescent="0.3">
      <c r="A565">
        <f t="shared" si="7"/>
        <v>750000</v>
      </c>
    </row>
    <row r="566" spans="1:1" x14ac:dyDescent="0.3">
      <c r="A566">
        <f t="shared" si="7"/>
        <v>768000</v>
      </c>
    </row>
    <row r="567" spans="1:1" x14ac:dyDescent="0.3">
      <c r="A567">
        <f t="shared" si="7"/>
        <v>787000</v>
      </c>
    </row>
    <row r="568" spans="1:1" x14ac:dyDescent="0.3">
      <c r="A568">
        <f t="shared" si="7"/>
        <v>806000</v>
      </c>
    </row>
    <row r="569" spans="1:1" x14ac:dyDescent="0.3">
      <c r="A569">
        <f t="shared" si="7"/>
        <v>825000</v>
      </c>
    </row>
    <row r="570" spans="1:1" x14ac:dyDescent="0.3">
      <c r="A570">
        <f t="shared" si="7"/>
        <v>845000</v>
      </c>
    </row>
    <row r="571" spans="1:1" x14ac:dyDescent="0.3">
      <c r="A571">
        <f t="shared" si="7"/>
        <v>866000</v>
      </c>
    </row>
    <row r="572" spans="1:1" x14ac:dyDescent="0.3">
      <c r="A572">
        <f t="shared" si="7"/>
        <v>887000.00000000012</v>
      </c>
    </row>
    <row r="573" spans="1:1" x14ac:dyDescent="0.3">
      <c r="A573">
        <f t="shared" si="7"/>
        <v>909000</v>
      </c>
    </row>
    <row r="574" spans="1:1" x14ac:dyDescent="0.3">
      <c r="A574">
        <f t="shared" si="7"/>
        <v>931000</v>
      </c>
    </row>
    <row r="575" spans="1:1" x14ac:dyDescent="0.3">
      <c r="A575">
        <f t="shared" si="7"/>
        <v>953000</v>
      </c>
    </row>
    <row r="576" spans="1:1" x14ac:dyDescent="0.3">
      <c r="A576">
        <f t="shared" si="7"/>
        <v>976000</v>
      </c>
    </row>
    <row r="577" spans="1:1" x14ac:dyDescent="0.3">
      <c r="A577">
        <f t="shared" si="7"/>
        <v>1000000</v>
      </c>
    </row>
    <row r="578" spans="1:1" x14ac:dyDescent="0.3">
      <c r="A578">
        <f t="shared" si="7"/>
        <v>1020000</v>
      </c>
    </row>
    <row r="579" spans="1:1" x14ac:dyDescent="0.3">
      <c r="A579">
        <f t="shared" si="7"/>
        <v>1050000</v>
      </c>
    </row>
    <row r="580" spans="1:1" x14ac:dyDescent="0.3">
      <c r="A580">
        <f t="shared" si="7"/>
        <v>1070000</v>
      </c>
    </row>
    <row r="581" spans="1:1" x14ac:dyDescent="0.3">
      <c r="A581">
        <f t="shared" si="7"/>
        <v>1100000</v>
      </c>
    </row>
    <row r="582" spans="1:1" x14ac:dyDescent="0.3">
      <c r="A582">
        <f t="shared" si="7"/>
        <v>1130000</v>
      </c>
    </row>
    <row r="583" spans="1:1" x14ac:dyDescent="0.3">
      <c r="A583">
        <f t="shared" si="7"/>
        <v>1150000</v>
      </c>
    </row>
    <row r="584" spans="1:1" x14ac:dyDescent="0.3">
      <c r="A584">
        <f t="shared" si="7"/>
        <v>1180000</v>
      </c>
    </row>
    <row r="585" spans="1:1" x14ac:dyDescent="0.3">
      <c r="A585">
        <f t="shared" si="7"/>
        <v>1210000</v>
      </c>
    </row>
    <row r="586" spans="1:1" x14ac:dyDescent="0.3">
      <c r="A586">
        <f t="shared" si="7"/>
        <v>1240000</v>
      </c>
    </row>
    <row r="587" spans="1:1" x14ac:dyDescent="0.3">
      <c r="A587">
        <f t="shared" si="7"/>
        <v>1270000</v>
      </c>
    </row>
    <row r="588" spans="1:1" x14ac:dyDescent="0.3">
      <c r="A588">
        <f t="shared" si="7"/>
        <v>1300000</v>
      </c>
    </row>
    <row r="589" spans="1:1" x14ac:dyDescent="0.3">
      <c r="A589">
        <f t="shared" si="7"/>
        <v>1330000</v>
      </c>
    </row>
    <row r="590" spans="1:1" x14ac:dyDescent="0.3">
      <c r="A590">
        <f t="shared" si="7"/>
        <v>1370000</v>
      </c>
    </row>
    <row r="591" spans="1:1" x14ac:dyDescent="0.3">
      <c r="A591">
        <f t="shared" si="7"/>
        <v>1400000</v>
      </c>
    </row>
    <row r="592" spans="1:1" x14ac:dyDescent="0.3">
      <c r="A592">
        <f t="shared" si="7"/>
        <v>1430000</v>
      </c>
    </row>
    <row r="593" spans="1:1" x14ac:dyDescent="0.3">
      <c r="A593">
        <f t="shared" si="7"/>
        <v>1470000</v>
      </c>
    </row>
    <row r="594" spans="1:1" x14ac:dyDescent="0.3">
      <c r="A594">
        <f t="shared" si="7"/>
        <v>1500000</v>
      </c>
    </row>
    <row r="595" spans="1:1" x14ac:dyDescent="0.3">
      <c r="A595">
        <f t="shared" si="7"/>
        <v>1540000</v>
      </c>
    </row>
    <row r="596" spans="1:1" x14ac:dyDescent="0.3">
      <c r="A596">
        <f t="shared" si="7"/>
        <v>1580000</v>
      </c>
    </row>
    <row r="597" spans="1:1" x14ac:dyDescent="0.3">
      <c r="A597">
        <f t="shared" si="7"/>
        <v>1620000</v>
      </c>
    </row>
    <row r="598" spans="1:1" x14ac:dyDescent="0.3">
      <c r="A598">
        <f t="shared" si="7"/>
        <v>1650000</v>
      </c>
    </row>
    <row r="599" spans="1:1" x14ac:dyDescent="0.3">
      <c r="A599">
        <f t="shared" si="7"/>
        <v>1690000</v>
      </c>
    </row>
    <row r="600" spans="1:1" x14ac:dyDescent="0.3">
      <c r="A600">
        <f t="shared" si="7"/>
        <v>1740000</v>
      </c>
    </row>
    <row r="601" spans="1:1" x14ac:dyDescent="0.3">
      <c r="A601">
        <f t="shared" si="7"/>
        <v>1780000</v>
      </c>
    </row>
    <row r="602" spans="1:1" x14ac:dyDescent="0.3">
      <c r="A602">
        <f t="shared" si="7"/>
        <v>1820000</v>
      </c>
    </row>
    <row r="603" spans="1:1" x14ac:dyDescent="0.3">
      <c r="A603">
        <f t="shared" si="7"/>
        <v>1870000</v>
      </c>
    </row>
    <row r="604" spans="1:1" x14ac:dyDescent="0.3">
      <c r="A604">
        <f t="shared" si="7"/>
        <v>1910000</v>
      </c>
    </row>
    <row r="605" spans="1:1" x14ac:dyDescent="0.3">
      <c r="A605">
        <f t="shared" si="7"/>
        <v>1960000</v>
      </c>
    </row>
    <row r="606" spans="1:1" x14ac:dyDescent="0.3">
      <c r="A606">
        <f t="shared" si="7"/>
        <v>2000000</v>
      </c>
    </row>
    <row r="607" spans="1:1" x14ac:dyDescent="0.3">
      <c r="A607">
        <f t="shared" si="7"/>
        <v>2050000</v>
      </c>
    </row>
    <row r="608" spans="1:1" x14ac:dyDescent="0.3">
      <c r="A608">
        <f t="shared" si="7"/>
        <v>2100000</v>
      </c>
    </row>
    <row r="609" spans="1:1" x14ac:dyDescent="0.3">
      <c r="A609">
        <f t="shared" si="7"/>
        <v>2150000</v>
      </c>
    </row>
    <row r="610" spans="1:1" x14ac:dyDescent="0.3">
      <c r="A610">
        <f t="shared" ref="A610:A673" si="8">A514*10</f>
        <v>2210000</v>
      </c>
    </row>
    <row r="611" spans="1:1" x14ac:dyDescent="0.3">
      <c r="A611">
        <f t="shared" si="8"/>
        <v>2260000</v>
      </c>
    </row>
    <row r="612" spans="1:1" x14ac:dyDescent="0.3">
      <c r="A612">
        <f t="shared" si="8"/>
        <v>2320000</v>
      </c>
    </row>
    <row r="613" spans="1:1" x14ac:dyDescent="0.3">
      <c r="A613">
        <f t="shared" si="8"/>
        <v>2370000.0000000005</v>
      </c>
    </row>
    <row r="614" spans="1:1" x14ac:dyDescent="0.3">
      <c r="A614">
        <f t="shared" si="8"/>
        <v>2430000</v>
      </c>
    </row>
    <row r="615" spans="1:1" x14ac:dyDescent="0.3">
      <c r="A615">
        <f t="shared" si="8"/>
        <v>2490000</v>
      </c>
    </row>
    <row r="616" spans="1:1" x14ac:dyDescent="0.3">
      <c r="A616">
        <f t="shared" si="8"/>
        <v>2550000</v>
      </c>
    </row>
    <row r="617" spans="1:1" x14ac:dyDescent="0.3">
      <c r="A617">
        <f t="shared" si="8"/>
        <v>2610000</v>
      </c>
    </row>
    <row r="618" spans="1:1" x14ac:dyDescent="0.3">
      <c r="A618">
        <f t="shared" si="8"/>
        <v>2670000</v>
      </c>
    </row>
    <row r="619" spans="1:1" x14ac:dyDescent="0.3">
      <c r="A619">
        <f t="shared" si="8"/>
        <v>2740000</v>
      </c>
    </row>
    <row r="620" spans="1:1" x14ac:dyDescent="0.3">
      <c r="A620">
        <f t="shared" si="8"/>
        <v>2800000</v>
      </c>
    </row>
    <row r="621" spans="1:1" x14ac:dyDescent="0.3">
      <c r="A621">
        <f t="shared" si="8"/>
        <v>2870000</v>
      </c>
    </row>
    <row r="622" spans="1:1" x14ac:dyDescent="0.3">
      <c r="A622">
        <f t="shared" si="8"/>
        <v>2940000</v>
      </c>
    </row>
    <row r="623" spans="1:1" x14ac:dyDescent="0.3">
      <c r="A623">
        <f t="shared" si="8"/>
        <v>3010000</v>
      </c>
    </row>
    <row r="624" spans="1:1" x14ac:dyDescent="0.3">
      <c r="A624">
        <f t="shared" si="8"/>
        <v>3090000</v>
      </c>
    </row>
    <row r="625" spans="1:1" x14ac:dyDescent="0.3">
      <c r="A625">
        <f t="shared" si="8"/>
        <v>3160000</v>
      </c>
    </row>
    <row r="626" spans="1:1" x14ac:dyDescent="0.3">
      <c r="A626">
        <f t="shared" si="8"/>
        <v>3240000</v>
      </c>
    </row>
    <row r="627" spans="1:1" x14ac:dyDescent="0.3">
      <c r="A627">
        <f t="shared" si="8"/>
        <v>3320000</v>
      </c>
    </row>
    <row r="628" spans="1:1" x14ac:dyDescent="0.3">
      <c r="A628">
        <f t="shared" si="8"/>
        <v>3400000</v>
      </c>
    </row>
    <row r="629" spans="1:1" x14ac:dyDescent="0.3">
      <c r="A629">
        <f t="shared" si="8"/>
        <v>3480000</v>
      </c>
    </row>
    <row r="630" spans="1:1" x14ac:dyDescent="0.3">
      <c r="A630">
        <f t="shared" si="8"/>
        <v>3570000</v>
      </c>
    </row>
    <row r="631" spans="1:1" x14ac:dyDescent="0.3">
      <c r="A631">
        <f t="shared" si="8"/>
        <v>3650000</v>
      </c>
    </row>
    <row r="632" spans="1:1" x14ac:dyDescent="0.3">
      <c r="A632">
        <f t="shared" si="8"/>
        <v>3740000</v>
      </c>
    </row>
    <row r="633" spans="1:1" x14ac:dyDescent="0.3">
      <c r="A633">
        <f t="shared" si="8"/>
        <v>3830000</v>
      </c>
    </row>
    <row r="634" spans="1:1" x14ac:dyDescent="0.3">
      <c r="A634">
        <f t="shared" si="8"/>
        <v>3920000</v>
      </c>
    </row>
    <row r="635" spans="1:1" x14ac:dyDescent="0.3">
      <c r="A635">
        <f t="shared" si="8"/>
        <v>4020000</v>
      </c>
    </row>
    <row r="636" spans="1:1" x14ac:dyDescent="0.3">
      <c r="A636">
        <f t="shared" si="8"/>
        <v>4120000</v>
      </c>
    </row>
    <row r="637" spans="1:1" x14ac:dyDescent="0.3">
      <c r="A637">
        <f t="shared" si="8"/>
        <v>4220000</v>
      </c>
    </row>
    <row r="638" spans="1:1" x14ac:dyDescent="0.3">
      <c r="A638">
        <f t="shared" si="8"/>
        <v>4320000</v>
      </c>
    </row>
    <row r="639" spans="1:1" x14ac:dyDescent="0.3">
      <c r="A639">
        <f t="shared" si="8"/>
        <v>4420000</v>
      </c>
    </row>
    <row r="640" spans="1:1" x14ac:dyDescent="0.3">
      <c r="A640">
        <f t="shared" si="8"/>
        <v>4530000</v>
      </c>
    </row>
    <row r="641" spans="1:1" x14ac:dyDescent="0.3">
      <c r="A641">
        <f t="shared" si="8"/>
        <v>4640000</v>
      </c>
    </row>
    <row r="642" spans="1:1" x14ac:dyDescent="0.3">
      <c r="A642">
        <f t="shared" si="8"/>
        <v>4750000</v>
      </c>
    </row>
    <row r="643" spans="1:1" x14ac:dyDescent="0.3">
      <c r="A643">
        <f t="shared" si="8"/>
        <v>4870000</v>
      </c>
    </row>
    <row r="644" spans="1:1" x14ac:dyDescent="0.3">
      <c r="A644">
        <f t="shared" si="8"/>
        <v>4990000.0000000009</v>
      </c>
    </row>
    <row r="645" spans="1:1" x14ac:dyDescent="0.3">
      <c r="A645">
        <f t="shared" si="8"/>
        <v>5110000</v>
      </c>
    </row>
    <row r="646" spans="1:1" x14ac:dyDescent="0.3">
      <c r="A646">
        <f t="shared" si="8"/>
        <v>5230000</v>
      </c>
    </row>
    <row r="647" spans="1:1" x14ac:dyDescent="0.3">
      <c r="A647">
        <f t="shared" si="8"/>
        <v>5360000</v>
      </c>
    </row>
    <row r="648" spans="1:1" x14ac:dyDescent="0.3">
      <c r="A648">
        <f t="shared" si="8"/>
        <v>5490000</v>
      </c>
    </row>
    <row r="649" spans="1:1" x14ac:dyDescent="0.3">
      <c r="A649">
        <f t="shared" si="8"/>
        <v>5620000</v>
      </c>
    </row>
    <row r="650" spans="1:1" x14ac:dyDescent="0.3">
      <c r="A650">
        <f t="shared" si="8"/>
        <v>5760000</v>
      </c>
    </row>
    <row r="651" spans="1:1" x14ac:dyDescent="0.3">
      <c r="A651">
        <f t="shared" si="8"/>
        <v>5900000</v>
      </c>
    </row>
    <row r="652" spans="1:1" x14ac:dyDescent="0.3">
      <c r="A652">
        <f t="shared" si="8"/>
        <v>6040000</v>
      </c>
    </row>
    <row r="653" spans="1:1" x14ac:dyDescent="0.3">
      <c r="A653">
        <f t="shared" si="8"/>
        <v>6189999.9999999991</v>
      </c>
    </row>
    <row r="654" spans="1:1" x14ac:dyDescent="0.3">
      <c r="A654">
        <f t="shared" si="8"/>
        <v>6340000</v>
      </c>
    </row>
    <row r="655" spans="1:1" x14ac:dyDescent="0.3">
      <c r="A655">
        <f t="shared" si="8"/>
        <v>6490000</v>
      </c>
    </row>
    <row r="656" spans="1:1" x14ac:dyDescent="0.3">
      <c r="A656">
        <f t="shared" si="8"/>
        <v>6650000</v>
      </c>
    </row>
    <row r="657" spans="1:1" x14ac:dyDescent="0.3">
      <c r="A657">
        <f t="shared" si="8"/>
        <v>6810000</v>
      </c>
    </row>
    <row r="658" spans="1:1" x14ac:dyDescent="0.3">
      <c r="A658">
        <f t="shared" si="8"/>
        <v>6980000</v>
      </c>
    </row>
    <row r="659" spans="1:1" x14ac:dyDescent="0.3">
      <c r="A659">
        <f t="shared" si="8"/>
        <v>7150000</v>
      </c>
    </row>
    <row r="660" spans="1:1" x14ac:dyDescent="0.3">
      <c r="A660">
        <f t="shared" si="8"/>
        <v>7320000</v>
      </c>
    </row>
    <row r="661" spans="1:1" x14ac:dyDescent="0.3">
      <c r="A661">
        <f t="shared" si="8"/>
        <v>7500000</v>
      </c>
    </row>
    <row r="662" spans="1:1" x14ac:dyDescent="0.3">
      <c r="A662">
        <f t="shared" si="8"/>
        <v>7680000</v>
      </c>
    </row>
    <row r="663" spans="1:1" x14ac:dyDescent="0.3">
      <c r="A663">
        <f t="shared" si="8"/>
        <v>7870000</v>
      </c>
    </row>
    <row r="664" spans="1:1" x14ac:dyDescent="0.3">
      <c r="A664">
        <f t="shared" si="8"/>
        <v>8060000</v>
      </c>
    </row>
    <row r="665" spans="1:1" x14ac:dyDescent="0.3">
      <c r="A665">
        <f t="shared" si="8"/>
        <v>8250000</v>
      </c>
    </row>
    <row r="666" spans="1:1" x14ac:dyDescent="0.3">
      <c r="A666">
        <f t="shared" si="8"/>
        <v>8450000</v>
      </c>
    </row>
    <row r="667" spans="1:1" x14ac:dyDescent="0.3">
      <c r="A667">
        <f t="shared" si="8"/>
        <v>8660000</v>
      </c>
    </row>
    <row r="668" spans="1:1" x14ac:dyDescent="0.3">
      <c r="A668">
        <f t="shared" si="8"/>
        <v>8870000.0000000019</v>
      </c>
    </row>
    <row r="669" spans="1:1" x14ac:dyDescent="0.3">
      <c r="A669">
        <f t="shared" si="8"/>
        <v>9090000</v>
      </c>
    </row>
    <row r="670" spans="1:1" x14ac:dyDescent="0.3">
      <c r="A670">
        <f t="shared" si="8"/>
        <v>9310000</v>
      </c>
    </row>
    <row r="671" spans="1:1" x14ac:dyDescent="0.3">
      <c r="A671">
        <f t="shared" si="8"/>
        <v>9530000</v>
      </c>
    </row>
    <row r="672" spans="1:1" x14ac:dyDescent="0.3">
      <c r="A672">
        <f t="shared" si="8"/>
        <v>9760000</v>
      </c>
    </row>
    <row r="673" spans="1:1" x14ac:dyDescent="0.3">
      <c r="A673">
        <f t="shared" si="8"/>
        <v>10000000</v>
      </c>
    </row>
    <row r="674" spans="1:1" x14ac:dyDescent="0.3">
      <c r="A674">
        <f t="shared" ref="A674:A737" si="9">A578*10</f>
        <v>10200000</v>
      </c>
    </row>
    <row r="675" spans="1:1" x14ac:dyDescent="0.3">
      <c r="A675">
        <f t="shared" si="9"/>
        <v>10500000</v>
      </c>
    </row>
    <row r="676" spans="1:1" x14ac:dyDescent="0.3">
      <c r="A676">
        <f t="shared" si="9"/>
        <v>10700000</v>
      </c>
    </row>
    <row r="677" spans="1:1" x14ac:dyDescent="0.3">
      <c r="A677">
        <f t="shared" si="9"/>
        <v>11000000</v>
      </c>
    </row>
    <row r="678" spans="1:1" x14ac:dyDescent="0.3">
      <c r="A678">
        <f t="shared" si="9"/>
        <v>11300000</v>
      </c>
    </row>
    <row r="679" spans="1:1" x14ac:dyDescent="0.3">
      <c r="A679">
        <f t="shared" si="9"/>
        <v>11500000</v>
      </c>
    </row>
    <row r="680" spans="1:1" x14ac:dyDescent="0.3">
      <c r="A680">
        <f t="shared" si="9"/>
        <v>11800000</v>
      </c>
    </row>
    <row r="681" spans="1:1" x14ac:dyDescent="0.3">
      <c r="A681">
        <f t="shared" si="9"/>
        <v>12100000</v>
      </c>
    </row>
    <row r="682" spans="1:1" x14ac:dyDescent="0.3">
      <c r="A682">
        <f t="shared" si="9"/>
        <v>12400000</v>
      </c>
    </row>
    <row r="683" spans="1:1" x14ac:dyDescent="0.3">
      <c r="A683">
        <f t="shared" si="9"/>
        <v>12700000</v>
      </c>
    </row>
    <row r="684" spans="1:1" x14ac:dyDescent="0.3">
      <c r="A684">
        <f t="shared" si="9"/>
        <v>13000000</v>
      </c>
    </row>
    <row r="685" spans="1:1" x14ac:dyDescent="0.3">
      <c r="A685">
        <f t="shared" si="9"/>
        <v>13300000</v>
      </c>
    </row>
    <row r="686" spans="1:1" x14ac:dyDescent="0.3">
      <c r="A686">
        <f t="shared" si="9"/>
        <v>13700000</v>
      </c>
    </row>
    <row r="687" spans="1:1" x14ac:dyDescent="0.3">
      <c r="A687">
        <f t="shared" si="9"/>
        <v>14000000</v>
      </c>
    </row>
    <row r="688" spans="1:1" x14ac:dyDescent="0.3">
      <c r="A688">
        <f t="shared" si="9"/>
        <v>14300000</v>
      </c>
    </row>
    <row r="689" spans="1:1" x14ac:dyDescent="0.3">
      <c r="A689">
        <f t="shared" si="9"/>
        <v>14700000</v>
      </c>
    </row>
    <row r="690" spans="1:1" x14ac:dyDescent="0.3">
      <c r="A690">
        <f t="shared" si="9"/>
        <v>15000000</v>
      </c>
    </row>
    <row r="691" spans="1:1" x14ac:dyDescent="0.3">
      <c r="A691">
        <f t="shared" si="9"/>
        <v>15400000</v>
      </c>
    </row>
    <row r="692" spans="1:1" x14ac:dyDescent="0.3">
      <c r="A692">
        <f t="shared" si="9"/>
        <v>15800000</v>
      </c>
    </row>
    <row r="693" spans="1:1" x14ac:dyDescent="0.3">
      <c r="A693">
        <f t="shared" si="9"/>
        <v>16200000</v>
      </c>
    </row>
    <row r="694" spans="1:1" x14ac:dyDescent="0.3">
      <c r="A694">
        <f t="shared" si="9"/>
        <v>16500000</v>
      </c>
    </row>
    <row r="695" spans="1:1" x14ac:dyDescent="0.3">
      <c r="A695">
        <f t="shared" si="9"/>
        <v>16900000</v>
      </c>
    </row>
    <row r="696" spans="1:1" x14ac:dyDescent="0.3">
      <c r="A696">
        <f t="shared" si="9"/>
        <v>17400000</v>
      </c>
    </row>
    <row r="697" spans="1:1" x14ac:dyDescent="0.3">
      <c r="A697">
        <f t="shared" si="9"/>
        <v>17800000</v>
      </c>
    </row>
    <row r="698" spans="1:1" x14ac:dyDescent="0.3">
      <c r="A698">
        <f t="shared" si="9"/>
        <v>18200000</v>
      </c>
    </row>
    <row r="699" spans="1:1" x14ac:dyDescent="0.3">
      <c r="A699">
        <f t="shared" si="9"/>
        <v>18700000</v>
      </c>
    </row>
    <row r="700" spans="1:1" x14ac:dyDescent="0.3">
      <c r="A700">
        <f t="shared" si="9"/>
        <v>19100000</v>
      </c>
    </row>
    <row r="701" spans="1:1" x14ac:dyDescent="0.3">
      <c r="A701">
        <f t="shared" si="9"/>
        <v>19600000</v>
      </c>
    </row>
    <row r="702" spans="1:1" x14ac:dyDescent="0.3">
      <c r="A702">
        <f t="shared" si="9"/>
        <v>20000000</v>
      </c>
    </row>
    <row r="703" spans="1:1" x14ac:dyDescent="0.3">
      <c r="A703">
        <f t="shared" si="9"/>
        <v>20500000</v>
      </c>
    </row>
    <row r="704" spans="1:1" x14ac:dyDescent="0.3">
      <c r="A704">
        <f t="shared" si="9"/>
        <v>21000000</v>
      </c>
    </row>
    <row r="705" spans="1:1" x14ac:dyDescent="0.3">
      <c r="A705">
        <f t="shared" si="9"/>
        <v>21500000</v>
      </c>
    </row>
    <row r="706" spans="1:1" x14ac:dyDescent="0.3">
      <c r="A706">
        <f t="shared" si="9"/>
        <v>22100000</v>
      </c>
    </row>
    <row r="707" spans="1:1" x14ac:dyDescent="0.3">
      <c r="A707">
        <f t="shared" si="9"/>
        <v>22600000</v>
      </c>
    </row>
    <row r="708" spans="1:1" x14ac:dyDescent="0.3">
      <c r="A708">
        <f t="shared" si="9"/>
        <v>23200000</v>
      </c>
    </row>
    <row r="709" spans="1:1" x14ac:dyDescent="0.3">
      <c r="A709">
        <f t="shared" si="9"/>
        <v>23700000.000000004</v>
      </c>
    </row>
    <row r="710" spans="1:1" x14ac:dyDescent="0.3">
      <c r="A710">
        <f t="shared" si="9"/>
        <v>24300000</v>
      </c>
    </row>
    <row r="711" spans="1:1" x14ac:dyDescent="0.3">
      <c r="A711">
        <f t="shared" si="9"/>
        <v>24900000</v>
      </c>
    </row>
    <row r="712" spans="1:1" x14ac:dyDescent="0.3">
      <c r="A712">
        <f t="shared" si="9"/>
        <v>25500000</v>
      </c>
    </row>
    <row r="713" spans="1:1" x14ac:dyDescent="0.3">
      <c r="A713">
        <f t="shared" si="9"/>
        <v>26100000</v>
      </c>
    </row>
    <row r="714" spans="1:1" x14ac:dyDescent="0.3">
      <c r="A714">
        <f t="shared" si="9"/>
        <v>26700000</v>
      </c>
    </row>
    <row r="715" spans="1:1" x14ac:dyDescent="0.3">
      <c r="A715">
        <f t="shared" si="9"/>
        <v>27400000</v>
      </c>
    </row>
    <row r="716" spans="1:1" x14ac:dyDescent="0.3">
      <c r="A716">
        <f t="shared" si="9"/>
        <v>28000000</v>
      </c>
    </row>
    <row r="717" spans="1:1" x14ac:dyDescent="0.3">
      <c r="A717">
        <f t="shared" si="9"/>
        <v>28700000</v>
      </c>
    </row>
    <row r="718" spans="1:1" x14ac:dyDescent="0.3">
      <c r="A718">
        <f t="shared" si="9"/>
        <v>29400000</v>
      </c>
    </row>
    <row r="719" spans="1:1" x14ac:dyDescent="0.3">
      <c r="A719">
        <f t="shared" si="9"/>
        <v>30100000</v>
      </c>
    </row>
    <row r="720" spans="1:1" x14ac:dyDescent="0.3">
      <c r="A720">
        <f t="shared" si="9"/>
        <v>30900000</v>
      </c>
    </row>
    <row r="721" spans="1:1" x14ac:dyDescent="0.3">
      <c r="A721">
        <f t="shared" si="9"/>
        <v>31600000</v>
      </c>
    </row>
    <row r="722" spans="1:1" x14ac:dyDescent="0.3">
      <c r="A722">
        <f t="shared" si="9"/>
        <v>32400000</v>
      </c>
    </row>
    <row r="723" spans="1:1" x14ac:dyDescent="0.3">
      <c r="A723">
        <f t="shared" si="9"/>
        <v>33200000</v>
      </c>
    </row>
    <row r="724" spans="1:1" x14ac:dyDescent="0.3">
      <c r="A724">
        <f t="shared" si="9"/>
        <v>34000000</v>
      </c>
    </row>
    <row r="725" spans="1:1" x14ac:dyDescent="0.3">
      <c r="A725">
        <f t="shared" si="9"/>
        <v>34800000</v>
      </c>
    </row>
    <row r="726" spans="1:1" x14ac:dyDescent="0.3">
      <c r="A726">
        <f t="shared" si="9"/>
        <v>35700000</v>
      </c>
    </row>
    <row r="727" spans="1:1" x14ac:dyDescent="0.3">
      <c r="A727">
        <f t="shared" si="9"/>
        <v>36500000</v>
      </c>
    </row>
    <row r="728" spans="1:1" x14ac:dyDescent="0.3">
      <c r="A728">
        <f t="shared" si="9"/>
        <v>37400000</v>
      </c>
    </row>
    <row r="729" spans="1:1" x14ac:dyDescent="0.3">
      <c r="A729">
        <f t="shared" si="9"/>
        <v>38300000</v>
      </c>
    </row>
    <row r="730" spans="1:1" x14ac:dyDescent="0.3">
      <c r="A730">
        <f t="shared" si="9"/>
        <v>39200000</v>
      </c>
    </row>
    <row r="731" spans="1:1" x14ac:dyDescent="0.3">
      <c r="A731">
        <f t="shared" si="9"/>
        <v>40200000</v>
      </c>
    </row>
    <row r="732" spans="1:1" x14ac:dyDescent="0.3">
      <c r="A732">
        <f t="shared" si="9"/>
        <v>41200000</v>
      </c>
    </row>
    <row r="733" spans="1:1" x14ac:dyDescent="0.3">
      <c r="A733">
        <f t="shared" si="9"/>
        <v>42200000</v>
      </c>
    </row>
    <row r="734" spans="1:1" x14ac:dyDescent="0.3">
      <c r="A734">
        <f t="shared" si="9"/>
        <v>43200000</v>
      </c>
    </row>
    <row r="735" spans="1:1" x14ac:dyDescent="0.3">
      <c r="A735">
        <f t="shared" si="9"/>
        <v>44200000</v>
      </c>
    </row>
    <row r="736" spans="1:1" x14ac:dyDescent="0.3">
      <c r="A736">
        <f t="shared" si="9"/>
        <v>45300000</v>
      </c>
    </row>
    <row r="737" spans="1:1" x14ac:dyDescent="0.3">
      <c r="A737">
        <f t="shared" si="9"/>
        <v>46400000</v>
      </c>
    </row>
    <row r="738" spans="1:1" x14ac:dyDescent="0.3">
      <c r="A738">
        <f t="shared" ref="A738:A769" si="10">A642*10</f>
        <v>47500000</v>
      </c>
    </row>
    <row r="739" spans="1:1" x14ac:dyDescent="0.3">
      <c r="A739">
        <f t="shared" si="10"/>
        <v>48700000</v>
      </c>
    </row>
    <row r="740" spans="1:1" x14ac:dyDescent="0.3">
      <c r="A740">
        <f t="shared" si="10"/>
        <v>49900000.000000007</v>
      </c>
    </row>
    <row r="741" spans="1:1" x14ac:dyDescent="0.3">
      <c r="A741">
        <f t="shared" si="10"/>
        <v>51100000</v>
      </c>
    </row>
    <row r="742" spans="1:1" x14ac:dyDescent="0.3">
      <c r="A742">
        <f t="shared" si="10"/>
        <v>52300000</v>
      </c>
    </row>
    <row r="743" spans="1:1" x14ac:dyDescent="0.3">
      <c r="A743">
        <f t="shared" si="10"/>
        <v>53600000</v>
      </c>
    </row>
    <row r="744" spans="1:1" x14ac:dyDescent="0.3">
      <c r="A744">
        <f t="shared" si="10"/>
        <v>54900000</v>
      </c>
    </row>
    <row r="745" spans="1:1" x14ac:dyDescent="0.3">
      <c r="A745">
        <f t="shared" si="10"/>
        <v>56200000</v>
      </c>
    </row>
    <row r="746" spans="1:1" x14ac:dyDescent="0.3">
      <c r="A746">
        <f t="shared" si="10"/>
        <v>57600000</v>
      </c>
    </row>
    <row r="747" spans="1:1" x14ac:dyDescent="0.3">
      <c r="A747">
        <f t="shared" si="10"/>
        <v>59000000</v>
      </c>
    </row>
    <row r="748" spans="1:1" x14ac:dyDescent="0.3">
      <c r="A748">
        <f t="shared" si="10"/>
        <v>60400000</v>
      </c>
    </row>
    <row r="749" spans="1:1" x14ac:dyDescent="0.3">
      <c r="A749">
        <f t="shared" si="10"/>
        <v>61899999.999999993</v>
      </c>
    </row>
    <row r="750" spans="1:1" x14ac:dyDescent="0.3">
      <c r="A750">
        <f t="shared" si="10"/>
        <v>63400000</v>
      </c>
    </row>
    <row r="751" spans="1:1" x14ac:dyDescent="0.3">
      <c r="A751">
        <f t="shared" si="10"/>
        <v>64900000</v>
      </c>
    </row>
    <row r="752" spans="1:1" x14ac:dyDescent="0.3">
      <c r="A752">
        <f t="shared" si="10"/>
        <v>66500000</v>
      </c>
    </row>
    <row r="753" spans="1:1" x14ac:dyDescent="0.3">
      <c r="A753">
        <f t="shared" si="10"/>
        <v>68100000</v>
      </c>
    </row>
    <row r="754" spans="1:1" x14ac:dyDescent="0.3">
      <c r="A754">
        <f t="shared" si="10"/>
        <v>69800000</v>
      </c>
    </row>
    <row r="755" spans="1:1" x14ac:dyDescent="0.3">
      <c r="A755">
        <f t="shared" si="10"/>
        <v>71500000</v>
      </c>
    </row>
    <row r="756" spans="1:1" x14ac:dyDescent="0.3">
      <c r="A756">
        <f t="shared" si="10"/>
        <v>73200000</v>
      </c>
    </row>
    <row r="757" spans="1:1" x14ac:dyDescent="0.3">
      <c r="A757">
        <f t="shared" si="10"/>
        <v>75000000</v>
      </c>
    </row>
    <row r="758" spans="1:1" x14ac:dyDescent="0.3">
      <c r="A758">
        <f t="shared" si="10"/>
        <v>76800000</v>
      </c>
    </row>
    <row r="759" spans="1:1" x14ac:dyDescent="0.3">
      <c r="A759">
        <f t="shared" si="10"/>
        <v>78700000</v>
      </c>
    </row>
    <row r="760" spans="1:1" x14ac:dyDescent="0.3">
      <c r="A760">
        <f t="shared" si="10"/>
        <v>80600000</v>
      </c>
    </row>
    <row r="761" spans="1:1" x14ac:dyDescent="0.3">
      <c r="A761">
        <f t="shared" si="10"/>
        <v>82500000</v>
      </c>
    </row>
    <row r="762" spans="1:1" x14ac:dyDescent="0.3">
      <c r="A762">
        <f t="shared" si="10"/>
        <v>84500000</v>
      </c>
    </row>
    <row r="763" spans="1:1" x14ac:dyDescent="0.3">
      <c r="A763">
        <f t="shared" si="10"/>
        <v>86600000</v>
      </c>
    </row>
    <row r="764" spans="1:1" x14ac:dyDescent="0.3">
      <c r="A764">
        <f t="shared" si="10"/>
        <v>88700000.000000015</v>
      </c>
    </row>
    <row r="765" spans="1:1" x14ac:dyDescent="0.3">
      <c r="A765">
        <f t="shared" si="10"/>
        <v>90900000</v>
      </c>
    </row>
    <row r="766" spans="1:1" x14ac:dyDescent="0.3">
      <c r="A766">
        <f t="shared" si="10"/>
        <v>93100000</v>
      </c>
    </row>
    <row r="767" spans="1:1" x14ac:dyDescent="0.3">
      <c r="A767">
        <f t="shared" si="10"/>
        <v>95300000</v>
      </c>
    </row>
    <row r="768" spans="1:1" x14ac:dyDescent="0.3">
      <c r="A768">
        <f t="shared" si="10"/>
        <v>97600000</v>
      </c>
    </row>
    <row r="769" spans="1:1" x14ac:dyDescent="0.3">
      <c r="A769">
        <f t="shared" si="10"/>
        <v>100000000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26"/>
  <sheetViews>
    <sheetView workbookViewId="0">
      <selection activeCell="A12" sqref="A12"/>
    </sheetView>
  </sheetViews>
  <sheetFormatPr defaultRowHeight="14.4" x14ac:dyDescent="0.3"/>
  <sheetData>
    <row r="1" spans="1:1" x14ac:dyDescent="0.3">
      <c r="A1" s="1">
        <v>1.0000000000000001E-9</v>
      </c>
    </row>
    <row r="2" spans="1:1" x14ac:dyDescent="0.3">
      <c r="A2" s="1">
        <v>1.1000000000000001E-9</v>
      </c>
    </row>
    <row r="3" spans="1:1" x14ac:dyDescent="0.3">
      <c r="A3" s="1">
        <v>1.2E-9</v>
      </c>
    </row>
    <row r="4" spans="1:1" x14ac:dyDescent="0.3">
      <c r="A4" s="1">
        <v>1.3000000000000001E-9</v>
      </c>
    </row>
    <row r="5" spans="1:1" x14ac:dyDescent="0.3">
      <c r="A5" s="1">
        <v>1.5000000000000002E-9</v>
      </c>
    </row>
    <row r="6" spans="1:1" x14ac:dyDescent="0.3">
      <c r="A6" s="1">
        <v>1.6000000000000003E-9</v>
      </c>
    </row>
    <row r="7" spans="1:1" x14ac:dyDescent="0.3">
      <c r="A7" s="1">
        <v>1.8000000000000002E-9</v>
      </c>
    </row>
    <row r="8" spans="1:1" x14ac:dyDescent="0.3">
      <c r="A8" s="1">
        <v>2.0000000000000001E-9</v>
      </c>
    </row>
    <row r="9" spans="1:1" x14ac:dyDescent="0.3">
      <c r="A9" s="1">
        <v>2.2000000000000003E-9</v>
      </c>
    </row>
    <row r="10" spans="1:1" x14ac:dyDescent="0.3">
      <c r="A10" s="1">
        <v>2.4E-9</v>
      </c>
    </row>
    <row r="11" spans="1:1" x14ac:dyDescent="0.3">
      <c r="A11" s="1">
        <v>2.7000000000000002E-9</v>
      </c>
    </row>
    <row r="12" spans="1:1" x14ac:dyDescent="0.3">
      <c r="A12" s="1">
        <v>3.0000000000000004E-9</v>
      </c>
    </row>
    <row r="13" spans="1:1" x14ac:dyDescent="0.3">
      <c r="A13" s="1">
        <v>3.3000000000000002E-9</v>
      </c>
    </row>
    <row r="14" spans="1:1" x14ac:dyDescent="0.3">
      <c r="A14" s="1">
        <v>3.6000000000000004E-9</v>
      </c>
    </row>
    <row r="15" spans="1:1" x14ac:dyDescent="0.3">
      <c r="A15" s="1">
        <v>3.9000000000000002E-9</v>
      </c>
    </row>
    <row r="16" spans="1:1" x14ac:dyDescent="0.3">
      <c r="A16" s="1">
        <v>4.3000000000000005E-9</v>
      </c>
    </row>
    <row r="17" spans="1:1" x14ac:dyDescent="0.3">
      <c r="A17" s="1">
        <v>4.7000000000000007E-9</v>
      </c>
    </row>
    <row r="18" spans="1:1" x14ac:dyDescent="0.3">
      <c r="A18" s="1">
        <v>5.1000000000000002E-9</v>
      </c>
    </row>
    <row r="19" spans="1:1" x14ac:dyDescent="0.3">
      <c r="A19" s="1">
        <v>5.5999999999999997E-9</v>
      </c>
    </row>
    <row r="20" spans="1:1" x14ac:dyDescent="0.3">
      <c r="A20" s="1">
        <v>6.2000000000000009E-9</v>
      </c>
    </row>
    <row r="21" spans="1:1" x14ac:dyDescent="0.3">
      <c r="A21" s="1">
        <v>6.8000000000000005E-9</v>
      </c>
    </row>
    <row r="22" spans="1:1" x14ac:dyDescent="0.3">
      <c r="A22" s="1">
        <v>7.500000000000001E-9</v>
      </c>
    </row>
    <row r="23" spans="1:1" x14ac:dyDescent="0.3">
      <c r="A23" s="1">
        <v>8.199999999999999E-9</v>
      </c>
    </row>
    <row r="24" spans="1:1" x14ac:dyDescent="0.3">
      <c r="A24" s="1">
        <v>8.7000000000000001E-9</v>
      </c>
    </row>
    <row r="25" spans="1:1" x14ac:dyDescent="0.3">
      <c r="A25" s="1">
        <v>9.1000000000000004E-9</v>
      </c>
    </row>
    <row r="26" spans="1:1" x14ac:dyDescent="0.3">
      <c r="A26" s="1">
        <v>1E-8</v>
      </c>
    </row>
    <row r="27" spans="1:1" x14ac:dyDescent="0.3">
      <c r="A27" s="1">
        <v>1.1000000000000001E-8</v>
      </c>
    </row>
    <row r="28" spans="1:1" x14ac:dyDescent="0.3">
      <c r="A28" s="1">
        <v>1.2000000000000002E-8</v>
      </c>
    </row>
    <row r="29" spans="1:1" x14ac:dyDescent="0.3">
      <c r="A29" s="1">
        <v>1.3000000000000001E-8</v>
      </c>
    </row>
    <row r="30" spans="1:1" x14ac:dyDescent="0.3">
      <c r="A30" s="1">
        <v>1.5000000000000002E-8</v>
      </c>
    </row>
    <row r="31" spans="1:1" x14ac:dyDescent="0.3">
      <c r="A31" s="1">
        <v>1.6000000000000001E-8</v>
      </c>
    </row>
    <row r="32" spans="1:1" x14ac:dyDescent="0.3">
      <c r="A32" s="1">
        <v>1.8000000000000002E-8</v>
      </c>
    </row>
    <row r="33" spans="1:1" x14ac:dyDescent="0.3">
      <c r="A33" s="1">
        <v>2E-8</v>
      </c>
    </row>
    <row r="34" spans="1:1" x14ac:dyDescent="0.3">
      <c r="A34" s="1">
        <v>2.2000000000000002E-8</v>
      </c>
    </row>
    <row r="35" spans="1:1" x14ac:dyDescent="0.3">
      <c r="A35" s="1">
        <v>2.4000000000000003E-8</v>
      </c>
    </row>
    <row r="36" spans="1:1" x14ac:dyDescent="0.3">
      <c r="A36" s="1">
        <v>2.7E-8</v>
      </c>
    </row>
    <row r="37" spans="1:1" x14ac:dyDescent="0.3">
      <c r="A37" s="1">
        <v>3.0000000000000004E-8</v>
      </c>
    </row>
    <row r="38" spans="1:1" x14ac:dyDescent="0.3">
      <c r="A38" s="1">
        <v>3.3000000000000004E-8</v>
      </c>
    </row>
    <row r="39" spans="1:1" x14ac:dyDescent="0.3">
      <c r="A39" s="1">
        <v>3.6000000000000005E-8</v>
      </c>
    </row>
    <row r="40" spans="1:1" x14ac:dyDescent="0.3">
      <c r="A40" s="1">
        <v>3.9000000000000005E-8</v>
      </c>
    </row>
    <row r="41" spans="1:1" x14ac:dyDescent="0.3">
      <c r="A41" s="1">
        <v>4.3000000000000001E-8</v>
      </c>
    </row>
    <row r="42" spans="1:1" x14ac:dyDescent="0.3">
      <c r="A42" s="1">
        <v>4.7000000000000004E-8</v>
      </c>
    </row>
    <row r="43" spans="1:1" x14ac:dyDescent="0.3">
      <c r="A43" s="1">
        <v>5.1E-8</v>
      </c>
    </row>
    <row r="44" spans="1:1" x14ac:dyDescent="0.3">
      <c r="A44" s="1">
        <v>5.6000000000000005E-8</v>
      </c>
    </row>
    <row r="45" spans="1:1" x14ac:dyDescent="0.3">
      <c r="A45" s="1">
        <v>6.1999999999999999E-8</v>
      </c>
    </row>
    <row r="46" spans="1:1" x14ac:dyDescent="0.3">
      <c r="A46" s="1">
        <v>6.8E-8</v>
      </c>
    </row>
    <row r="47" spans="1:1" x14ac:dyDescent="0.3">
      <c r="A47" s="1">
        <v>7.500000000000001E-8</v>
      </c>
    </row>
    <row r="48" spans="1:1" x14ac:dyDescent="0.3">
      <c r="A48" s="1">
        <v>8.2000000000000006E-8</v>
      </c>
    </row>
    <row r="49" spans="1:1" x14ac:dyDescent="0.3">
      <c r="A49" s="1">
        <v>8.7000000000000011E-8</v>
      </c>
    </row>
    <row r="50" spans="1:1" x14ac:dyDescent="0.3">
      <c r="A50" s="1">
        <v>9.1000000000000008E-8</v>
      </c>
    </row>
    <row r="51" spans="1:1" x14ac:dyDescent="0.3">
      <c r="A51" s="1">
        <v>1.0000000000000001E-7</v>
      </c>
    </row>
    <row r="52" spans="1:1" x14ac:dyDescent="0.3">
      <c r="A52" s="1">
        <v>1.1000000000000001E-7</v>
      </c>
    </row>
    <row r="53" spans="1:1" x14ac:dyDescent="0.3">
      <c r="A53" s="1">
        <v>1.2000000000000002E-7</v>
      </c>
    </row>
    <row r="54" spans="1:1" x14ac:dyDescent="0.3">
      <c r="A54" s="1">
        <v>1.3E-7</v>
      </c>
    </row>
    <row r="55" spans="1:1" x14ac:dyDescent="0.3">
      <c r="A55" s="1">
        <v>1.5000000000000002E-7</v>
      </c>
    </row>
    <row r="56" spans="1:1" x14ac:dyDescent="0.3">
      <c r="A56" s="1">
        <v>1.6E-7</v>
      </c>
    </row>
    <row r="57" spans="1:1" x14ac:dyDescent="0.3">
      <c r="A57" s="1">
        <v>1.8000000000000002E-7</v>
      </c>
    </row>
    <row r="58" spans="1:1" x14ac:dyDescent="0.3">
      <c r="A58" s="1">
        <v>2.0000000000000002E-7</v>
      </c>
    </row>
    <row r="59" spans="1:1" x14ac:dyDescent="0.3">
      <c r="A59" s="1">
        <v>2.2000000000000001E-7</v>
      </c>
    </row>
    <row r="60" spans="1:1" x14ac:dyDescent="0.3">
      <c r="A60" s="1">
        <v>2.4000000000000003E-7</v>
      </c>
    </row>
    <row r="61" spans="1:1" x14ac:dyDescent="0.3">
      <c r="A61" s="1">
        <v>2.7000000000000001E-7</v>
      </c>
    </row>
    <row r="62" spans="1:1" x14ac:dyDescent="0.3">
      <c r="A62" s="1">
        <v>3.0000000000000004E-7</v>
      </c>
    </row>
    <row r="63" spans="1:1" x14ac:dyDescent="0.3">
      <c r="A63" s="1">
        <v>3.3000000000000002E-7</v>
      </c>
    </row>
    <row r="64" spans="1:1" x14ac:dyDescent="0.3">
      <c r="A64" s="1">
        <v>3.6000000000000005E-7</v>
      </c>
    </row>
    <row r="65" spans="1:1" x14ac:dyDescent="0.3">
      <c r="A65" s="1">
        <v>3.9000000000000002E-7</v>
      </c>
    </row>
    <row r="66" spans="1:1" x14ac:dyDescent="0.3">
      <c r="A66" s="1">
        <v>4.3000000000000001E-7</v>
      </c>
    </row>
    <row r="67" spans="1:1" x14ac:dyDescent="0.3">
      <c r="A67" s="1">
        <v>4.7000000000000005E-7</v>
      </c>
    </row>
    <row r="68" spans="1:1" x14ac:dyDescent="0.3">
      <c r="A68" s="1">
        <v>5.0999999999999999E-7</v>
      </c>
    </row>
    <row r="69" spans="1:1" x14ac:dyDescent="0.3">
      <c r="A69" s="1">
        <v>5.6000000000000004E-7</v>
      </c>
    </row>
    <row r="70" spans="1:1" x14ac:dyDescent="0.3">
      <c r="A70" s="1">
        <v>6.1999999999999999E-7</v>
      </c>
    </row>
    <row r="71" spans="1:1" x14ac:dyDescent="0.3">
      <c r="A71" s="1">
        <v>6.8000000000000005E-7</v>
      </c>
    </row>
    <row r="72" spans="1:1" x14ac:dyDescent="0.3">
      <c r="A72" s="1">
        <v>7.5000000000000002E-7</v>
      </c>
    </row>
    <row r="73" spans="1:1" x14ac:dyDescent="0.3">
      <c r="A73" s="1">
        <v>8.2000000000000009E-7</v>
      </c>
    </row>
    <row r="74" spans="1:1" x14ac:dyDescent="0.3">
      <c r="A74" s="1">
        <v>8.7000000000000003E-7</v>
      </c>
    </row>
    <row r="75" spans="1:1" x14ac:dyDescent="0.3">
      <c r="A75" s="1">
        <v>9.1000000000000008E-7</v>
      </c>
    </row>
    <row r="76" spans="1:1" x14ac:dyDescent="0.3">
      <c r="A76" s="1">
        <v>1.0000000000000002E-6</v>
      </c>
    </row>
    <row r="77" spans="1:1" x14ac:dyDescent="0.3">
      <c r="A77" s="1">
        <v>1.1000000000000001E-6</v>
      </c>
    </row>
    <row r="78" spans="1:1" x14ac:dyDescent="0.3">
      <c r="A78" s="1">
        <v>1.2000000000000002E-6</v>
      </c>
    </row>
    <row r="79" spans="1:1" x14ac:dyDescent="0.3">
      <c r="A79" s="1">
        <v>1.3E-6</v>
      </c>
    </row>
    <row r="80" spans="1:1" x14ac:dyDescent="0.3">
      <c r="A80" s="1">
        <v>1.5E-6</v>
      </c>
    </row>
    <row r="81" spans="1:1" x14ac:dyDescent="0.3">
      <c r="A81" s="1">
        <v>1.6000000000000001E-6</v>
      </c>
    </row>
    <row r="82" spans="1:1" x14ac:dyDescent="0.3">
      <c r="A82" s="1">
        <v>1.8000000000000001E-6</v>
      </c>
    </row>
    <row r="83" spans="1:1" x14ac:dyDescent="0.3">
      <c r="A83" s="1">
        <v>2.0000000000000003E-6</v>
      </c>
    </row>
    <row r="84" spans="1:1" x14ac:dyDescent="0.3">
      <c r="A84" s="1">
        <v>2.2000000000000001E-6</v>
      </c>
    </row>
    <row r="85" spans="1:1" x14ac:dyDescent="0.3">
      <c r="A85" s="1">
        <v>2.4000000000000003E-6</v>
      </c>
    </row>
    <row r="86" spans="1:1" x14ac:dyDescent="0.3">
      <c r="A86" s="1">
        <v>2.7E-6</v>
      </c>
    </row>
    <row r="87" spans="1:1" x14ac:dyDescent="0.3">
      <c r="A87" s="1">
        <v>3.0000000000000001E-6</v>
      </c>
    </row>
    <row r="88" spans="1:1" x14ac:dyDescent="0.3">
      <c r="A88" s="1">
        <v>3.3000000000000002E-6</v>
      </c>
    </row>
    <row r="89" spans="1:1" x14ac:dyDescent="0.3">
      <c r="A89" s="1">
        <v>3.6000000000000003E-6</v>
      </c>
    </row>
    <row r="90" spans="1:1" x14ac:dyDescent="0.3">
      <c r="A90" s="1">
        <v>3.8999999999999999E-6</v>
      </c>
    </row>
    <row r="91" spans="1:1" x14ac:dyDescent="0.3">
      <c r="A91" s="1">
        <v>4.3000000000000003E-6</v>
      </c>
    </row>
    <row r="92" spans="1:1" x14ac:dyDescent="0.3">
      <c r="A92" s="1">
        <v>4.6999999999999999E-6</v>
      </c>
    </row>
    <row r="93" spans="1:1" x14ac:dyDescent="0.3">
      <c r="A93" s="1">
        <v>5.1000000000000003E-6</v>
      </c>
    </row>
    <row r="94" spans="1:1" x14ac:dyDescent="0.3">
      <c r="A94" s="1">
        <v>5.6000000000000006E-6</v>
      </c>
    </row>
    <row r="95" spans="1:1" x14ac:dyDescent="0.3">
      <c r="A95" s="1">
        <v>6.2000000000000008E-6</v>
      </c>
    </row>
    <row r="96" spans="1:1" x14ac:dyDescent="0.3">
      <c r="A96" s="1">
        <v>6.8000000000000001E-6</v>
      </c>
    </row>
    <row r="97" spans="1:1" x14ac:dyDescent="0.3">
      <c r="A97" s="1">
        <v>7.5000000000000002E-6</v>
      </c>
    </row>
    <row r="98" spans="1:1" x14ac:dyDescent="0.3">
      <c r="A98" s="1">
        <v>8.2000000000000011E-6</v>
      </c>
    </row>
    <row r="99" spans="1:1" x14ac:dyDescent="0.3">
      <c r="A99" s="1">
        <v>8.6999999999999997E-6</v>
      </c>
    </row>
    <row r="100" spans="1:1" x14ac:dyDescent="0.3">
      <c r="A100" s="1">
        <v>9.100000000000001E-6</v>
      </c>
    </row>
    <row r="101" spans="1:1" x14ac:dyDescent="0.3">
      <c r="A101" s="1">
        <v>1.0000000000000001E-5</v>
      </c>
    </row>
    <row r="102" spans="1:1" x14ac:dyDescent="0.3">
      <c r="A102" s="1">
        <v>1.1000000000000001E-5</v>
      </c>
    </row>
    <row r="103" spans="1:1" x14ac:dyDescent="0.3">
      <c r="A103" s="1">
        <v>1.2E-5</v>
      </c>
    </row>
    <row r="104" spans="1:1" x14ac:dyDescent="0.3">
      <c r="A104" s="1">
        <v>1.3000000000000001E-5</v>
      </c>
    </row>
    <row r="105" spans="1:1" x14ac:dyDescent="0.3">
      <c r="A105" s="1">
        <v>1.5E-5</v>
      </c>
    </row>
    <row r="106" spans="1:1" x14ac:dyDescent="0.3">
      <c r="A106" s="1">
        <v>1.6000000000000003E-5</v>
      </c>
    </row>
    <row r="107" spans="1:1" x14ac:dyDescent="0.3">
      <c r="A107" s="1">
        <v>1.8E-5</v>
      </c>
    </row>
    <row r="108" spans="1:1" x14ac:dyDescent="0.3">
      <c r="A108" s="1">
        <v>2.0000000000000002E-5</v>
      </c>
    </row>
    <row r="109" spans="1:1" x14ac:dyDescent="0.3">
      <c r="A109" s="1">
        <v>2.2000000000000003E-5</v>
      </c>
    </row>
    <row r="110" spans="1:1" x14ac:dyDescent="0.3">
      <c r="A110" s="1">
        <v>2.4000000000000001E-5</v>
      </c>
    </row>
    <row r="111" spans="1:1" x14ac:dyDescent="0.3">
      <c r="A111" s="1">
        <v>2.7000000000000002E-5</v>
      </c>
    </row>
    <row r="112" spans="1:1" x14ac:dyDescent="0.3">
      <c r="A112" s="1">
        <v>3.0000000000000001E-5</v>
      </c>
    </row>
    <row r="113" spans="1:1" x14ac:dyDescent="0.3">
      <c r="A113" s="1">
        <v>3.3000000000000003E-5</v>
      </c>
    </row>
    <row r="114" spans="1:1" x14ac:dyDescent="0.3">
      <c r="A114" s="1">
        <v>3.6000000000000001E-5</v>
      </c>
    </row>
    <row r="115" spans="1:1" x14ac:dyDescent="0.3">
      <c r="A115" s="1">
        <v>3.8999999999999999E-5</v>
      </c>
    </row>
    <row r="116" spans="1:1" x14ac:dyDescent="0.3">
      <c r="A116" s="1">
        <v>4.3000000000000002E-5</v>
      </c>
    </row>
    <row r="117" spans="1:1" x14ac:dyDescent="0.3">
      <c r="A117" s="1">
        <v>4.7000000000000004E-5</v>
      </c>
    </row>
    <row r="118" spans="1:1" x14ac:dyDescent="0.3">
      <c r="A118" s="1">
        <v>5.1000000000000006E-5</v>
      </c>
    </row>
    <row r="119" spans="1:1" x14ac:dyDescent="0.3">
      <c r="A119" s="1">
        <v>5.6000000000000006E-5</v>
      </c>
    </row>
    <row r="120" spans="1:1" x14ac:dyDescent="0.3">
      <c r="A120" s="1">
        <v>6.2000000000000003E-5</v>
      </c>
    </row>
    <row r="121" spans="1:1" x14ac:dyDescent="0.3">
      <c r="A121" s="1">
        <v>6.7999999999999999E-5</v>
      </c>
    </row>
    <row r="122" spans="1:1" x14ac:dyDescent="0.3">
      <c r="A122" s="1">
        <v>7.5000000000000007E-5</v>
      </c>
    </row>
    <row r="123" spans="1:1" x14ac:dyDescent="0.3">
      <c r="A123" s="1">
        <v>8.2000000000000001E-5</v>
      </c>
    </row>
    <row r="124" spans="1:1" x14ac:dyDescent="0.3">
      <c r="A124" s="1">
        <v>8.7000000000000001E-5</v>
      </c>
    </row>
    <row r="125" spans="1:1" x14ac:dyDescent="0.3">
      <c r="A125" s="1">
        <v>9.1000000000000003E-5</v>
      </c>
    </row>
    <row r="126" spans="1:1" x14ac:dyDescent="0.3">
      <c r="A126" s="1">
        <v>1E-4</v>
      </c>
    </row>
    <row r="127" spans="1:1" x14ac:dyDescent="0.3">
      <c r="A127" s="1">
        <v>1.1E-4</v>
      </c>
    </row>
    <row r="128" spans="1:1" x14ac:dyDescent="0.3">
      <c r="A128" s="1">
        <v>1.2E-4</v>
      </c>
    </row>
    <row r="129" spans="1:1" x14ac:dyDescent="0.3">
      <c r="A129" s="1">
        <v>1.3000000000000002E-4</v>
      </c>
    </row>
    <row r="130" spans="1:1" x14ac:dyDescent="0.3">
      <c r="A130" s="1">
        <v>1.5000000000000001E-4</v>
      </c>
    </row>
    <row r="131" spans="1:1" x14ac:dyDescent="0.3">
      <c r="A131" s="1">
        <v>1.6000000000000001E-4</v>
      </c>
    </row>
    <row r="132" spans="1:1" x14ac:dyDescent="0.3">
      <c r="A132" s="1">
        <v>1.8000000000000001E-4</v>
      </c>
    </row>
    <row r="133" spans="1:1" x14ac:dyDescent="0.3">
      <c r="A133" s="1">
        <v>2.0000000000000001E-4</v>
      </c>
    </row>
    <row r="134" spans="1:1" x14ac:dyDescent="0.3">
      <c r="A134" s="1">
        <v>2.2000000000000001E-4</v>
      </c>
    </row>
    <row r="135" spans="1:1" x14ac:dyDescent="0.3">
      <c r="A135" s="1">
        <v>2.4000000000000001E-4</v>
      </c>
    </row>
    <row r="136" spans="1:1" x14ac:dyDescent="0.3">
      <c r="A136" s="1">
        <v>2.7E-4</v>
      </c>
    </row>
    <row r="137" spans="1:1" x14ac:dyDescent="0.3">
      <c r="A137" s="1">
        <v>3.0000000000000003E-4</v>
      </c>
    </row>
    <row r="138" spans="1:1" x14ac:dyDescent="0.3">
      <c r="A138" s="1">
        <v>3.3E-4</v>
      </c>
    </row>
    <row r="139" spans="1:1" x14ac:dyDescent="0.3">
      <c r="A139" s="1">
        <v>3.6000000000000002E-4</v>
      </c>
    </row>
    <row r="140" spans="1:1" x14ac:dyDescent="0.3">
      <c r="A140" s="1">
        <v>3.9000000000000005E-4</v>
      </c>
    </row>
    <row r="141" spans="1:1" x14ac:dyDescent="0.3">
      <c r="A141" s="1">
        <v>4.3000000000000004E-4</v>
      </c>
    </row>
    <row r="142" spans="1:1" x14ac:dyDescent="0.3">
      <c r="A142" s="1">
        <v>4.7000000000000004E-4</v>
      </c>
    </row>
    <row r="143" spans="1:1" x14ac:dyDescent="0.3">
      <c r="A143" s="1">
        <v>5.1000000000000004E-4</v>
      </c>
    </row>
    <row r="144" spans="1:1" x14ac:dyDescent="0.3">
      <c r="A144" s="1">
        <v>5.6000000000000006E-4</v>
      </c>
    </row>
    <row r="145" spans="1:1" x14ac:dyDescent="0.3">
      <c r="A145" s="1">
        <v>6.2E-4</v>
      </c>
    </row>
    <row r="146" spans="1:1" x14ac:dyDescent="0.3">
      <c r="A146" s="1">
        <v>6.8000000000000005E-4</v>
      </c>
    </row>
    <row r="147" spans="1:1" x14ac:dyDescent="0.3">
      <c r="A147" s="1">
        <v>7.5000000000000002E-4</v>
      </c>
    </row>
    <row r="148" spans="1:1" x14ac:dyDescent="0.3">
      <c r="A148" s="1">
        <v>8.2000000000000009E-4</v>
      </c>
    </row>
    <row r="149" spans="1:1" x14ac:dyDescent="0.3">
      <c r="A149" s="1">
        <v>8.7000000000000001E-4</v>
      </c>
    </row>
    <row r="150" spans="1:1" x14ac:dyDescent="0.3">
      <c r="A150" s="1">
        <v>9.1000000000000011E-4</v>
      </c>
    </row>
    <row r="151" spans="1:1" x14ac:dyDescent="0.3">
      <c r="A151" s="1">
        <v>1E-3</v>
      </c>
    </row>
    <row r="152" spans="1:1" x14ac:dyDescent="0.3">
      <c r="A152" s="1">
        <v>1.1000000000000001E-3</v>
      </c>
    </row>
    <row r="153" spans="1:1" x14ac:dyDescent="0.3">
      <c r="A153" s="1">
        <v>1.2000000000000001E-3</v>
      </c>
    </row>
    <row r="154" spans="1:1" x14ac:dyDescent="0.3">
      <c r="A154" s="1">
        <v>1.3000000000000002E-3</v>
      </c>
    </row>
    <row r="155" spans="1:1" x14ac:dyDescent="0.3">
      <c r="A155" s="1">
        <v>1.5E-3</v>
      </c>
    </row>
    <row r="156" spans="1:1" x14ac:dyDescent="0.3">
      <c r="A156" s="1">
        <v>1.6000000000000001E-3</v>
      </c>
    </row>
    <row r="157" spans="1:1" x14ac:dyDescent="0.3">
      <c r="A157" s="1">
        <v>1.8000000000000002E-3</v>
      </c>
    </row>
    <row r="158" spans="1:1" x14ac:dyDescent="0.3">
      <c r="A158" s="1">
        <v>2E-3</v>
      </c>
    </row>
    <row r="159" spans="1:1" x14ac:dyDescent="0.3">
      <c r="A159" s="1">
        <v>2.2000000000000001E-3</v>
      </c>
    </row>
    <row r="160" spans="1:1" x14ac:dyDescent="0.3">
      <c r="A160" s="1">
        <v>2.4000000000000002E-3</v>
      </c>
    </row>
    <row r="161" spans="1:1" x14ac:dyDescent="0.3">
      <c r="A161" s="1">
        <v>2.7000000000000001E-3</v>
      </c>
    </row>
    <row r="162" spans="1:1" x14ac:dyDescent="0.3">
      <c r="A162" s="1">
        <v>3.0000000000000001E-3</v>
      </c>
    </row>
    <row r="163" spans="1:1" x14ac:dyDescent="0.3">
      <c r="A163" s="1">
        <v>3.3000000000000004E-3</v>
      </c>
    </row>
    <row r="164" spans="1:1" x14ac:dyDescent="0.3">
      <c r="A164" s="1">
        <v>3.6000000000000003E-3</v>
      </c>
    </row>
    <row r="165" spans="1:1" x14ac:dyDescent="0.3">
      <c r="A165" s="1">
        <v>3.9000000000000003E-3</v>
      </c>
    </row>
    <row r="166" spans="1:1" x14ac:dyDescent="0.3">
      <c r="A166" s="1">
        <v>4.3E-3</v>
      </c>
    </row>
    <row r="167" spans="1:1" x14ac:dyDescent="0.3">
      <c r="A167" s="1">
        <v>4.7000000000000002E-3</v>
      </c>
    </row>
    <row r="168" spans="1:1" x14ac:dyDescent="0.3">
      <c r="A168" s="1">
        <v>5.1000000000000004E-3</v>
      </c>
    </row>
    <row r="169" spans="1:1" x14ac:dyDescent="0.3">
      <c r="A169" s="1">
        <v>5.5999999999999999E-3</v>
      </c>
    </row>
    <row r="170" spans="1:1" x14ac:dyDescent="0.3">
      <c r="A170" s="1">
        <v>6.2000000000000006E-3</v>
      </c>
    </row>
    <row r="171" spans="1:1" x14ac:dyDescent="0.3">
      <c r="A171" s="1">
        <v>6.8000000000000005E-3</v>
      </c>
    </row>
    <row r="172" spans="1:1" x14ac:dyDescent="0.3">
      <c r="A172" s="1">
        <v>7.5000000000000006E-3</v>
      </c>
    </row>
    <row r="173" spans="1:1" x14ac:dyDescent="0.3">
      <c r="A173" s="1">
        <v>8.2000000000000007E-3</v>
      </c>
    </row>
    <row r="174" spans="1:1" x14ac:dyDescent="0.3">
      <c r="A174" s="1">
        <v>8.7000000000000011E-3</v>
      </c>
    </row>
    <row r="175" spans="1:1" x14ac:dyDescent="0.3">
      <c r="A175" s="1">
        <v>9.1000000000000004E-3</v>
      </c>
    </row>
    <row r="176" spans="1:1" x14ac:dyDescent="0.3">
      <c r="A176" s="1">
        <v>0.01</v>
      </c>
    </row>
    <row r="177" spans="1:1" x14ac:dyDescent="0.3">
      <c r="A177" s="1">
        <v>1.1000000000000001E-2</v>
      </c>
    </row>
    <row r="178" spans="1:1" x14ac:dyDescent="0.3">
      <c r="A178" s="1">
        <v>1.2E-2</v>
      </c>
    </row>
    <row r="179" spans="1:1" x14ac:dyDescent="0.3">
      <c r="A179" s="1">
        <v>1.3000000000000001E-2</v>
      </c>
    </row>
    <row r="180" spans="1:1" x14ac:dyDescent="0.3">
      <c r="A180" s="1">
        <v>1.5000000000000001E-2</v>
      </c>
    </row>
    <row r="181" spans="1:1" x14ac:dyDescent="0.3">
      <c r="A181" s="1">
        <v>1.6E-2</v>
      </c>
    </row>
    <row r="182" spans="1:1" x14ac:dyDescent="0.3">
      <c r="A182" s="1">
        <v>1.8000000000000002E-2</v>
      </c>
    </row>
    <row r="183" spans="1:1" x14ac:dyDescent="0.3">
      <c r="A183" s="1">
        <v>0.02</v>
      </c>
    </row>
    <row r="184" spans="1:1" x14ac:dyDescent="0.3">
      <c r="A184" s="1">
        <v>2.2000000000000002E-2</v>
      </c>
    </row>
    <row r="185" spans="1:1" x14ac:dyDescent="0.3">
      <c r="A185" s="1">
        <v>2.4E-2</v>
      </c>
    </row>
    <row r="186" spans="1:1" x14ac:dyDescent="0.3">
      <c r="A186" s="1">
        <v>2.7000000000000003E-2</v>
      </c>
    </row>
    <row r="187" spans="1:1" x14ac:dyDescent="0.3">
      <c r="A187" s="1">
        <v>3.0000000000000002E-2</v>
      </c>
    </row>
    <row r="188" spans="1:1" x14ac:dyDescent="0.3">
      <c r="A188" s="1">
        <v>3.3000000000000002E-2</v>
      </c>
    </row>
    <row r="189" spans="1:1" x14ac:dyDescent="0.3">
      <c r="A189" s="1">
        <v>3.6000000000000004E-2</v>
      </c>
    </row>
    <row r="190" spans="1:1" x14ac:dyDescent="0.3">
      <c r="A190" s="1">
        <v>3.9E-2</v>
      </c>
    </row>
    <row r="191" spans="1:1" x14ac:dyDescent="0.3">
      <c r="A191" s="1">
        <v>4.3000000000000003E-2</v>
      </c>
    </row>
    <row r="192" spans="1:1" x14ac:dyDescent="0.3">
      <c r="A192" s="1">
        <v>4.7E-2</v>
      </c>
    </row>
    <row r="193" spans="1:1" x14ac:dyDescent="0.3">
      <c r="A193" s="1">
        <v>5.1000000000000004E-2</v>
      </c>
    </row>
    <row r="194" spans="1:1" x14ac:dyDescent="0.3">
      <c r="A194" s="1">
        <v>5.6000000000000001E-2</v>
      </c>
    </row>
    <row r="195" spans="1:1" x14ac:dyDescent="0.3">
      <c r="A195" s="1">
        <v>6.2000000000000006E-2</v>
      </c>
    </row>
    <row r="196" spans="1:1" x14ac:dyDescent="0.3">
      <c r="A196" s="1">
        <v>6.8000000000000005E-2</v>
      </c>
    </row>
    <row r="197" spans="1:1" x14ac:dyDescent="0.3">
      <c r="A197" s="1">
        <v>7.5000000000000011E-2</v>
      </c>
    </row>
    <row r="198" spans="1:1" x14ac:dyDescent="0.3">
      <c r="A198" s="1">
        <v>8.2000000000000003E-2</v>
      </c>
    </row>
    <row r="199" spans="1:1" x14ac:dyDescent="0.3">
      <c r="A199" s="1">
        <v>8.7000000000000008E-2</v>
      </c>
    </row>
    <row r="200" spans="1:1" x14ac:dyDescent="0.3">
      <c r="A200" s="1">
        <v>9.1000000000000011E-2</v>
      </c>
    </row>
    <row r="201" spans="1:1" x14ac:dyDescent="0.3">
      <c r="A201" s="1">
        <v>0.1</v>
      </c>
    </row>
    <row r="202" spans="1:1" x14ac:dyDescent="0.3">
      <c r="A202" s="1">
        <v>0.11</v>
      </c>
    </row>
    <row r="203" spans="1:1" x14ac:dyDescent="0.3">
      <c r="A203" s="1">
        <v>0.12000000000000001</v>
      </c>
    </row>
    <row r="204" spans="1:1" x14ac:dyDescent="0.3">
      <c r="A204" s="1">
        <v>0.13</v>
      </c>
    </row>
    <row r="205" spans="1:1" x14ac:dyDescent="0.3">
      <c r="A205" s="1">
        <v>0.15000000000000002</v>
      </c>
    </row>
    <row r="206" spans="1:1" x14ac:dyDescent="0.3">
      <c r="A206" s="1">
        <v>0.16</v>
      </c>
    </row>
    <row r="207" spans="1:1" x14ac:dyDescent="0.3">
      <c r="A207" s="1">
        <v>0.18000000000000002</v>
      </c>
    </row>
    <row r="208" spans="1:1" x14ac:dyDescent="0.3">
      <c r="A208" s="1">
        <v>0.2</v>
      </c>
    </row>
    <row r="209" spans="1:1" x14ac:dyDescent="0.3">
      <c r="A209" s="1">
        <v>0.22</v>
      </c>
    </row>
    <row r="210" spans="1:1" x14ac:dyDescent="0.3">
      <c r="A210" s="1">
        <v>0.24000000000000002</v>
      </c>
    </row>
    <row r="211" spans="1:1" x14ac:dyDescent="0.3">
      <c r="A211" s="1">
        <v>0.27</v>
      </c>
    </row>
    <row r="212" spans="1:1" x14ac:dyDescent="0.3">
      <c r="A212" s="1">
        <v>0.30000000000000004</v>
      </c>
    </row>
    <row r="213" spans="1:1" x14ac:dyDescent="0.3">
      <c r="A213" s="1">
        <v>0.33</v>
      </c>
    </row>
    <row r="214" spans="1:1" x14ac:dyDescent="0.3">
      <c r="A214" s="1">
        <v>0.36000000000000004</v>
      </c>
    </row>
    <row r="215" spans="1:1" x14ac:dyDescent="0.3">
      <c r="A215" s="1">
        <v>0.39</v>
      </c>
    </row>
    <row r="216" spans="1:1" x14ac:dyDescent="0.3">
      <c r="A216" s="1">
        <v>0.43000000000000005</v>
      </c>
    </row>
    <row r="217" spans="1:1" x14ac:dyDescent="0.3">
      <c r="A217" s="1">
        <v>0.47000000000000003</v>
      </c>
    </row>
    <row r="218" spans="1:1" x14ac:dyDescent="0.3">
      <c r="A218" s="1">
        <v>0.51</v>
      </c>
    </row>
    <row r="219" spans="1:1" x14ac:dyDescent="0.3">
      <c r="A219" s="1">
        <v>0.56000000000000005</v>
      </c>
    </row>
    <row r="220" spans="1:1" x14ac:dyDescent="0.3">
      <c r="A220" s="1">
        <v>0.62</v>
      </c>
    </row>
    <row r="221" spans="1:1" x14ac:dyDescent="0.3">
      <c r="A221" s="1">
        <v>0.68</v>
      </c>
    </row>
    <row r="222" spans="1:1" x14ac:dyDescent="0.3">
      <c r="A222" s="1">
        <v>0.75</v>
      </c>
    </row>
    <row r="223" spans="1:1" x14ac:dyDescent="0.3">
      <c r="A223" s="1">
        <v>0.82000000000000006</v>
      </c>
    </row>
    <row r="224" spans="1:1" x14ac:dyDescent="0.3">
      <c r="A224" s="1">
        <v>0.87000000000000011</v>
      </c>
    </row>
    <row r="225" spans="1:1" x14ac:dyDescent="0.3">
      <c r="A225" s="1">
        <v>0.91</v>
      </c>
    </row>
    <row r="226" spans="1:1" ht="15" thickBot="1" x14ac:dyDescent="0.35">
      <c r="A226"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RstdVal</vt:lpstr>
      <vt:lpstr>LstdVal</vt:lpstr>
    </vt:vector>
  </TitlesOfParts>
  <Company>Texas Instruments,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Jaffe, Samuel</dc:creator>
  <cp:lastModifiedBy>Tharusha Gajasingha</cp:lastModifiedBy>
  <dcterms:created xsi:type="dcterms:W3CDTF">2019-08-01T16:10:21Z</dcterms:created>
  <dcterms:modified xsi:type="dcterms:W3CDTF">2025-09-11T12:49:44Z</dcterms:modified>
</cp:coreProperties>
</file>